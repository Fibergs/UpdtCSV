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iratSivaslioglu\Downloads\"/>
    </mc:Choice>
  </mc:AlternateContent>
  <xr:revisionPtr revIDLastSave="0" documentId="13_ncr:1_{CD66CC51-C260-48DF-80CF-4C25F38BEFC3}" xr6:coauthVersionLast="47" xr6:coauthVersionMax="47" xr10:uidLastSave="{00000000-0000-0000-0000-000000000000}"/>
  <bookViews>
    <workbookView xWindow="1890" yWindow="660" windowWidth="23940" windowHeight="13395" firstSheet="4" activeTab="4" xr2:uid="{8198DC82-57AD-40D7-B079-B251C9D85E06}"/>
  </bookViews>
  <sheets>
    <sheet name="Total Reduction " sheetId="11" r:id="rId1"/>
    <sheet name="Workshop Uppsala" sheetId="14" r:id="rId2"/>
    <sheet name="Backend --&gt; " sheetId="3" r:id="rId3"/>
    <sheet name="Optimization of waste bins" sheetId="10" r:id="rId4"/>
    <sheet name="Adoption and reduction" sheetId="2" r:id="rId5"/>
    <sheet name="Gloves" sheetId="12" r:id="rId6"/>
    <sheet name="CO2" sheetId="15" r:id="rId7"/>
    <sheet name="Total reduction visuals" sheetId="13" r:id="rId8"/>
    <sheet name="Plastic reduction " sheetId="4" r:id="rId9"/>
    <sheet name="Cost difference" sheetId="5" r:id="rId10"/>
    <sheet name="Cost-savings optimization" sheetId="6" r:id="rId11"/>
    <sheet name="Spend vs. activity based visual" sheetId="7" r:id="rId12"/>
    <sheet name="Plastic-savings optimization" sheetId="8" r:id="rId13"/>
    <sheet name="Optimization" sheetId="9" r:id="rId14"/>
    <sheet name="Testing if it's offline" sheetId="16" r:id="rId15"/>
  </sheets>
  <definedNames>
    <definedName name="_xlchart.v2.0" hidden="1">'Total reduction visuals'!$C$6:$C$10</definedName>
    <definedName name="_xlchart.v2.1" hidden="1">'Total reduction visuals'!$D$5</definedName>
    <definedName name="_xlchart.v2.2" hidden="1">'Total reduction visuals'!$D$6:$D$10</definedName>
    <definedName name="_xlchart.v2.3" hidden="1">'Total reduction visuals'!$E$5</definedName>
    <definedName name="_xlchart.v2.4" hidden="1">'Total reduction visuals'!$E$6:$E$10</definedName>
    <definedName name="_xlchart.v2.5" hidden="1">'Total reduction visuals'!$C$6:$C$10</definedName>
    <definedName name="_xlchart.v2.6" hidden="1">'Total reduction visuals'!$D$5</definedName>
    <definedName name="_xlchart.v2.7" hidden="1">'Total reduction visuals'!$D$6:$D$10</definedName>
    <definedName name="_xlchart.v2.8" hidden="1">'Total reduction visuals'!$E$5</definedName>
    <definedName name="_xlchart.v2.9" hidden="1">'Total reduction visuals'!$E$6:$E$10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5" l="1"/>
  <c r="D16" i="15"/>
  <c r="D15" i="15"/>
  <c r="E14" i="15"/>
  <c r="E13" i="15"/>
  <c r="D14" i="15"/>
  <c r="D13" i="15"/>
  <c r="D10" i="12"/>
  <c r="I6" i="12"/>
  <c r="I8" i="12" s="1"/>
  <c r="K26" i="13" s="1"/>
  <c r="C16" i="2"/>
  <c r="C14" i="2"/>
  <c r="C12" i="2"/>
  <c r="C10" i="2"/>
  <c r="C8" i="2"/>
  <c r="I7" i="12" l="1"/>
  <c r="K25" i="13" s="1"/>
  <c r="T15" i="13" s="1"/>
  <c r="S15" i="13" s="1"/>
  <c r="C6" i="2" l="1"/>
  <c r="C4" i="2"/>
  <c r="D21" i="5"/>
  <c r="D15" i="5"/>
  <c r="D12" i="5"/>
  <c r="C19" i="2"/>
  <c r="C21" i="5" s="1"/>
  <c r="C22" i="5" s="1"/>
  <c r="C9" i="10"/>
  <c r="C35" i="6" s="1"/>
  <c r="C27" i="8" s="1"/>
  <c r="C7" i="10"/>
  <c r="C5" i="10"/>
  <c r="C33" i="6" s="1"/>
  <c r="C25" i="8" s="1"/>
  <c r="C34" i="6"/>
  <c r="C26" i="8" s="1"/>
  <c r="C33" i="8" s="1"/>
  <c r="D33" i="8" s="1"/>
  <c r="E33" i="8" s="1"/>
  <c r="D12" i="12"/>
  <c r="K31" i="13" s="1"/>
  <c r="D11" i="12"/>
  <c r="K30" i="13" s="1"/>
  <c r="V15" i="13" s="1"/>
  <c r="T16" i="13"/>
  <c r="S16" i="13" s="1"/>
  <c r="D7" i="12"/>
  <c r="D21" i="8"/>
  <c r="D19" i="8"/>
  <c r="D17" i="8"/>
  <c r="C19" i="8"/>
  <c r="K11" i="8"/>
  <c r="K12" i="8"/>
  <c r="H14" i="8"/>
  <c r="H13" i="8"/>
  <c r="E8" i="8"/>
  <c r="E7" i="8"/>
  <c r="E6" i="8"/>
  <c r="E5" i="8"/>
  <c r="E4" i="8"/>
  <c r="F22" i="6"/>
  <c r="F21" i="6"/>
  <c r="F17" i="6"/>
  <c r="F14" i="6"/>
  <c r="F15" i="6"/>
  <c r="E17" i="6"/>
  <c r="E14" i="6"/>
  <c r="E15" i="6"/>
  <c r="D17" i="6"/>
  <c r="D15" i="6"/>
  <c r="D14" i="6"/>
  <c r="C17" i="6"/>
  <c r="C15" i="6"/>
  <c r="C14" i="6"/>
  <c r="O16" i="5"/>
  <c r="O13" i="5"/>
  <c r="M16" i="5"/>
  <c r="M13" i="5"/>
  <c r="L17" i="5"/>
  <c r="L16" i="5"/>
  <c r="L13" i="5"/>
  <c r="L14" i="5"/>
  <c r="L11" i="5"/>
  <c r="L12" i="5"/>
  <c r="L10" i="5"/>
  <c r="C25" i="10"/>
  <c r="C25" i="6" s="1"/>
  <c r="C23" i="10"/>
  <c r="C24" i="6" s="1"/>
  <c r="D24" i="6" s="1"/>
  <c r="C21" i="10"/>
  <c r="C23" i="6" s="1"/>
  <c r="C19" i="10"/>
  <c r="C22" i="6" s="1"/>
  <c r="C17" i="8" s="1"/>
  <c r="V26" i="2"/>
  <c r="V27" i="2"/>
  <c r="V23" i="2"/>
  <c r="V22" i="2"/>
  <c r="I4" i="4"/>
  <c r="I6" i="4" s="1"/>
  <c r="F4" i="4"/>
  <c r="F6" i="4" s="1"/>
  <c r="C22" i="4" s="1"/>
  <c r="C21" i="6"/>
  <c r="C16" i="8" s="1"/>
  <c r="H12" i="8"/>
  <c r="H15" i="8"/>
  <c r="K10" i="8" s="1"/>
  <c r="H11" i="8"/>
  <c r="D16" i="6"/>
  <c r="F16" i="6" s="1"/>
  <c r="D13" i="6"/>
  <c r="F13" i="6" s="1"/>
  <c r="D12" i="6"/>
  <c r="F12" i="6" s="1"/>
  <c r="D11" i="6"/>
  <c r="F11" i="6" s="1"/>
  <c r="C16" i="6"/>
  <c r="E16" i="6" s="1"/>
  <c r="C13" i="6"/>
  <c r="E13" i="6" s="1"/>
  <c r="C12" i="6"/>
  <c r="E12" i="6" s="1"/>
  <c r="C11" i="6"/>
  <c r="E11" i="6" s="1"/>
  <c r="V16" i="13" l="1"/>
  <c r="W16" i="13" s="1"/>
  <c r="C9" i="5"/>
  <c r="I8" i="4"/>
  <c r="I10" i="4" s="1"/>
  <c r="D25" i="4" s="1"/>
  <c r="C12" i="5"/>
  <c r="D13" i="5" s="1"/>
  <c r="C15" i="5"/>
  <c r="D16" i="5" s="1"/>
  <c r="D22" i="5"/>
  <c r="E22" i="5" s="1"/>
  <c r="C32" i="5" s="1"/>
  <c r="C41" i="6"/>
  <c r="W15" i="13"/>
  <c r="X15" i="13"/>
  <c r="C42" i="6"/>
  <c r="D25" i="10" s="1"/>
  <c r="C34" i="2" s="1"/>
  <c r="M15" i="5" s="1"/>
  <c r="O15" i="5" s="1"/>
  <c r="D22" i="6"/>
  <c r="F23" i="6"/>
  <c r="D23" i="6"/>
  <c r="D25" i="6"/>
  <c r="C20" i="8"/>
  <c r="C34" i="8" s="1"/>
  <c r="D34" i="8" s="1"/>
  <c r="C25" i="4"/>
  <c r="F8" i="4"/>
  <c r="F10" i="4" s="1"/>
  <c r="D22" i="4" s="1"/>
  <c r="C33" i="4" s="1"/>
  <c r="D7" i="7" s="1"/>
  <c r="C18" i="8"/>
  <c r="D18" i="8" s="1"/>
  <c r="D20" i="8"/>
  <c r="C31" i="8"/>
  <c r="D31" i="8" s="1"/>
  <c r="C39" i="6"/>
  <c r="D16" i="8"/>
  <c r="D21" i="6"/>
  <c r="L15" i="5"/>
  <c r="D18" i="5"/>
  <c r="D9" i="5"/>
  <c r="D6" i="5"/>
  <c r="D3" i="5"/>
  <c r="C18" i="5"/>
  <c r="C6" i="5"/>
  <c r="C3" i="5"/>
  <c r="C4" i="5" l="1"/>
  <c r="D4" i="5"/>
  <c r="X16" i="13"/>
  <c r="C36" i="4"/>
  <c r="D10" i="7" s="1"/>
  <c r="E10" i="7" s="1"/>
  <c r="C16" i="5"/>
  <c r="E16" i="5" s="1"/>
  <c r="C30" i="5" s="1"/>
  <c r="C13" i="5"/>
  <c r="E13" i="5" s="1"/>
  <c r="C29" i="5" s="1"/>
  <c r="E7" i="7" s="1"/>
  <c r="D41" i="6"/>
  <c r="E41" i="6" s="1"/>
  <c r="D23" i="10"/>
  <c r="C32" i="2" s="1"/>
  <c r="E34" i="8"/>
  <c r="C32" i="8"/>
  <c r="D26" i="6"/>
  <c r="D42" i="6"/>
  <c r="D7" i="5"/>
  <c r="C7" i="5"/>
  <c r="D10" i="5"/>
  <c r="C10" i="5"/>
  <c r="D19" i="5"/>
  <c r="C19" i="5"/>
  <c r="D39" i="6"/>
  <c r="E39" i="6" s="1"/>
  <c r="D19" i="10"/>
  <c r="C26" i="2" s="1"/>
  <c r="M11" i="5" s="1"/>
  <c r="O11" i="5" s="1"/>
  <c r="E31" i="8"/>
  <c r="C30" i="8"/>
  <c r="E10" i="5" l="1"/>
  <c r="C28" i="5" s="1"/>
  <c r="G4" i="4"/>
  <c r="G6" i="4" s="1"/>
  <c r="M14" i="5"/>
  <c r="O14" i="5" s="1"/>
  <c r="E4" i="5"/>
  <c r="C26" i="5" s="1"/>
  <c r="H31" i="8"/>
  <c r="E42" i="6"/>
  <c r="H40" i="6" s="1"/>
  <c r="H41" i="6" s="1"/>
  <c r="E12" i="9" s="1"/>
  <c r="K9" i="13" s="1"/>
  <c r="N9" i="13" s="1"/>
  <c r="C40" i="6"/>
  <c r="D21" i="10" s="1"/>
  <c r="C28" i="2" s="1"/>
  <c r="M12" i="5" s="1"/>
  <c r="E7" i="5"/>
  <c r="C27" i="5" s="1"/>
  <c r="E19" i="5"/>
  <c r="C31" i="5" s="1"/>
  <c r="C38" i="6"/>
  <c r="D17" i="10" s="1"/>
  <c r="C24" i="2" s="1"/>
  <c r="M10" i="5" s="1"/>
  <c r="O10" i="5" s="1"/>
  <c r="G8" i="4" l="1"/>
  <c r="G10" i="4" s="1"/>
  <c r="D23" i="4" s="1"/>
  <c r="C23" i="4"/>
  <c r="O12" i="5"/>
  <c r="M17" i="5"/>
  <c r="S6" i="13"/>
  <c r="T6" i="13" s="1"/>
  <c r="U6" i="13" s="1"/>
  <c r="H33" i="8"/>
  <c r="E11" i="9" s="1"/>
  <c r="K8" i="13" s="1"/>
  <c r="N8" i="13" s="1"/>
  <c r="F22" i="14" s="1"/>
  <c r="H4" i="4"/>
  <c r="E4" i="4"/>
  <c r="E6" i="4" s="1"/>
  <c r="C21" i="4" s="1"/>
  <c r="D4" i="4"/>
  <c r="D6" i="4" s="1"/>
  <c r="C20" i="4" s="1"/>
  <c r="C4" i="4"/>
  <c r="C6" i="4" s="1"/>
  <c r="F39" i="11" l="1"/>
  <c r="L22" i="14"/>
  <c r="C34" i="4"/>
  <c r="D8" i="7" s="1"/>
  <c r="E8" i="7" s="1"/>
  <c r="S5" i="13"/>
  <c r="T5" i="13" s="1"/>
  <c r="U5" i="13" s="1"/>
  <c r="F38" i="11"/>
  <c r="N11" i="5"/>
  <c r="N10" i="5"/>
  <c r="N14" i="5"/>
  <c r="N16" i="5"/>
  <c r="N13" i="5"/>
  <c r="N15" i="5"/>
  <c r="N12" i="5"/>
  <c r="O17" i="5"/>
  <c r="P12" i="5" s="1"/>
  <c r="C19" i="4"/>
  <c r="H6" i="4"/>
  <c r="J6" i="4" s="1"/>
  <c r="C26" i="4" s="1"/>
  <c r="C8" i="4"/>
  <c r="D8" i="4"/>
  <c r="D10" i="4" s="1"/>
  <c r="D20" i="4" s="1"/>
  <c r="C31" i="4" s="1"/>
  <c r="D5" i="7" s="1"/>
  <c r="E5" i="7" s="1"/>
  <c r="E8" i="4"/>
  <c r="E10" i="4" s="1"/>
  <c r="D21" i="4" s="1"/>
  <c r="P15" i="5" l="1"/>
  <c r="P11" i="5"/>
  <c r="P10" i="5"/>
  <c r="P13" i="5"/>
  <c r="P16" i="5"/>
  <c r="P14" i="5"/>
  <c r="C24" i="4"/>
  <c r="C32" i="4"/>
  <c r="D6" i="7" s="1"/>
  <c r="E6" i="7" s="1"/>
  <c r="C10" i="4"/>
  <c r="H8" i="4"/>
  <c r="H10" i="4" s="1"/>
  <c r="D24" i="4" s="1"/>
  <c r="C39" i="5" l="1"/>
  <c r="K14" i="13" s="1"/>
  <c r="V6" i="13" s="1"/>
  <c r="W6" i="13" s="1"/>
  <c r="X6" i="13" s="1"/>
  <c r="N14" i="13" s="1"/>
  <c r="C40" i="5"/>
  <c r="K19" i="13" s="1"/>
  <c r="C35" i="5"/>
  <c r="C33" i="5" s="1"/>
  <c r="C35" i="4"/>
  <c r="D9" i="7" s="1"/>
  <c r="E9" i="7" s="1"/>
  <c r="D19" i="4"/>
  <c r="J10" i="4"/>
  <c r="J8" i="4"/>
  <c r="M7" i="4" s="1"/>
  <c r="K13" i="13" l="1"/>
  <c r="V5" i="13" s="1"/>
  <c r="W5" i="13" s="1"/>
  <c r="X5" i="13" s="1"/>
  <c r="N13" i="13" s="1"/>
  <c r="F44" i="11"/>
  <c r="L43" i="14"/>
  <c r="Y6" i="13"/>
  <c r="Z6" i="13" s="1"/>
  <c r="AA6" i="13" s="1"/>
  <c r="M9" i="4"/>
  <c r="K18" i="13" s="1"/>
  <c r="C30" i="4"/>
  <c r="D4" i="7" s="1"/>
  <c r="E4" i="7" s="1"/>
  <c r="D26" i="4"/>
  <c r="C12" i="4"/>
  <c r="C13" i="4" s="1"/>
  <c r="F43" i="11" l="1"/>
  <c r="F43" i="14"/>
  <c r="Y5" i="13"/>
  <c r="Z5" i="13" s="1"/>
  <c r="AA5" i="13" s="1"/>
  <c r="N18" i="13" s="1"/>
  <c r="N19" i="13"/>
  <c r="U16" i="13"/>
  <c r="C37" i="4"/>
  <c r="F49" i="11" l="1"/>
  <c r="L62" i="14"/>
  <c r="F48" i="11"/>
  <c r="R23" i="13"/>
  <c r="J5" i="15"/>
  <c r="J6" i="15" s="1"/>
  <c r="F62" i="14"/>
  <c r="U15" i="13"/>
  <c r="Y16" i="13"/>
  <c r="N31" i="13" s="1"/>
  <c r="L103" i="14" s="1"/>
  <c r="N26" i="13"/>
  <c r="D11" i="7"/>
  <c r="E11" i="7" s="1"/>
  <c r="F33" i="2"/>
  <c r="F57" i="11" l="1"/>
  <c r="L82" i="14"/>
  <c r="Y15" i="13"/>
  <c r="N30" i="13" s="1"/>
  <c r="N25" i="13"/>
  <c r="F56" i="11" s="1"/>
  <c r="F62" i="11"/>
  <c r="E38" i="13"/>
  <c r="S23" i="13" l="1"/>
  <c r="F82" i="14"/>
  <c r="F61" i="11"/>
  <c r="F103" i="14"/>
  <c r="T23" i="13"/>
  <c r="S25" i="13" s="1"/>
  <c r="S26" i="13" s="1"/>
  <c r="S27" i="13" s="1"/>
  <c r="I5" i="15"/>
  <c r="I6" i="15" s="1"/>
  <c r="D18" i="15" s="1"/>
  <c r="E18" i="15" s="1"/>
  <c r="E19" i="15" s="1"/>
  <c r="E39" i="13" s="1"/>
  <c r="E37" i="13"/>
</calcChain>
</file>

<file path=xl/sharedStrings.xml><?xml version="1.0" encoding="utf-8"?>
<sst xmlns="http://schemas.openxmlformats.org/spreadsheetml/2006/main" count="420" uniqueCount="197">
  <si>
    <t>The Plastics Challenge</t>
  </si>
  <si>
    <t xml:space="preserve">The five biggest plastic products are as follows: </t>
  </si>
  <si>
    <t xml:space="preserve">50% plastic reduction, cost-neutral </t>
  </si>
  <si>
    <t xml:space="preserve">Clinical Waste Bins </t>
  </si>
  <si>
    <t xml:space="preserve">STEP 1: </t>
  </si>
  <si>
    <t xml:space="preserve">Optimize 50% of the Sizes </t>
  </si>
  <si>
    <t>Total Plastic Weight:</t>
  </si>
  <si>
    <t xml:space="preserve">Total Financial Cost: </t>
  </si>
  <si>
    <t xml:space="preserve">STEP 2: </t>
  </si>
  <si>
    <t>Reduction 20%</t>
  </si>
  <si>
    <t xml:space="preserve">STEP 3: </t>
  </si>
  <si>
    <t xml:space="preserve">Substitute to WS 100% </t>
  </si>
  <si>
    <t xml:space="preserve">Gloves </t>
  </si>
  <si>
    <t xml:space="preserve">Change from 6g to 4g Gloves </t>
  </si>
  <si>
    <t>Reduse 20%</t>
  </si>
  <si>
    <t xml:space="preserve">Genom att optimera vilka storlekar av riskavfallskärl som köps in kan både plasten och kostnaderna per liter avfall minska. </t>
  </si>
  <si>
    <t>Optimera storlekarna</t>
  </si>
  <si>
    <t xml:space="preserve">2L till 12L </t>
  </si>
  <si>
    <t xml:space="preserve">3L till 12L </t>
  </si>
  <si>
    <t xml:space="preserve">25L till 50L </t>
  </si>
  <si>
    <t>Resultat</t>
  </si>
  <si>
    <t xml:space="preserve">En noggrannare sortering av riskavfall och icke-riskavfall kan bidra till att en mindre mängd riskavfallskärl används. Därmed minskar även den plast och de kostnader som följer. </t>
  </si>
  <si>
    <t xml:space="preserve">Sortering </t>
  </si>
  <si>
    <t>Andel som kan sorteras bort från riskavfallskärlen</t>
  </si>
  <si>
    <t xml:space="preserve">En substitution till mer miljövänliga alternativ, såsom WoodSafe, kan minska plasten i kärl med 80%. </t>
  </si>
  <si>
    <t xml:space="preserve">Substitution </t>
  </si>
  <si>
    <t>0,5L</t>
  </si>
  <si>
    <t>2L</t>
  </si>
  <si>
    <t>3L</t>
  </si>
  <si>
    <t>6L</t>
  </si>
  <si>
    <t>12L</t>
  </si>
  <si>
    <t>25L</t>
  </si>
  <si>
    <t>50L</t>
  </si>
  <si>
    <t xml:space="preserve">Att byta ut 6g-handskar till 4g bidrar till minskningar i plastanvändningen. </t>
  </si>
  <si>
    <t xml:space="preserve">Andel av handskar som kan bytas ut till 4g </t>
  </si>
  <si>
    <t xml:space="preserve">Genom att vara mer sparsam i användandet av handskar minskar plastanvändningen och de direkt kopplade kostnaderna. </t>
  </si>
  <si>
    <t>Reduse</t>
  </si>
  <si>
    <t xml:space="preserve">Andel av handskar som kan reduseras genom hantering </t>
  </si>
  <si>
    <t>Plastics challenge calculator</t>
  </si>
  <si>
    <t>Results:</t>
  </si>
  <si>
    <t xml:space="preserve">How much do you want to optimize? </t>
  </si>
  <si>
    <t>%</t>
  </si>
  <si>
    <t xml:space="preserve">2L to 12L </t>
  </si>
  <si>
    <t xml:space="preserve">3L to 12L </t>
  </si>
  <si>
    <t xml:space="preserve">25L to 50L </t>
  </si>
  <si>
    <t>Enter current amounts</t>
  </si>
  <si>
    <t xml:space="preserve">units </t>
  </si>
  <si>
    <t xml:space="preserve">New Amounts </t>
  </si>
  <si>
    <t>Clinical waste bins, 50L:</t>
  </si>
  <si>
    <t>Clinical waste bins, 25L:</t>
  </si>
  <si>
    <t xml:space="preserve">Clinical waste bins 12L: </t>
  </si>
  <si>
    <t xml:space="preserve">Clinical waste bins 3L: </t>
  </si>
  <si>
    <t xml:space="preserve">Clinical waste bins 2L: </t>
  </si>
  <si>
    <t>Enter your actions below:</t>
  </si>
  <si>
    <t>Woodsafe adoption</t>
  </si>
  <si>
    <t xml:space="preserve">Clinical waste bins 6L: </t>
  </si>
  <si>
    <t>Clinical waste bins 3L:</t>
  </si>
  <si>
    <t>Clinical waste bins 0,5L:</t>
  </si>
  <si>
    <t xml:space="preserve">Reducing riskwaste by sorting correctly: </t>
  </si>
  <si>
    <t xml:space="preserve">Strategic sorting </t>
  </si>
  <si>
    <t>UPPSALA</t>
  </si>
  <si>
    <t>Total reduction of plastic:</t>
  </si>
  <si>
    <t>Gloves</t>
  </si>
  <si>
    <t xml:space="preserve">Change 100% from 6g to 4g </t>
  </si>
  <si>
    <t xml:space="preserve">if 100% change </t>
  </si>
  <si>
    <t xml:space="preserve">Chosen amount of change: </t>
  </si>
  <si>
    <t xml:space="preserve">Plastic reduction </t>
  </si>
  <si>
    <t>Cost increase</t>
  </si>
  <si>
    <t xml:space="preserve">Assuming they cost 5% more </t>
  </si>
  <si>
    <t xml:space="preserve">Reduse with </t>
  </si>
  <si>
    <t xml:space="preserve">Cost reduction </t>
  </si>
  <si>
    <t xml:space="preserve">se en förhållandevis reduction av CO2 ekviv. </t>
  </si>
  <si>
    <t>Plast handskar minskar med [%]</t>
  </si>
  <si>
    <t>Plast kärl minskar med [%]</t>
  </si>
  <si>
    <t>Plast övrigt minskar med [%}</t>
  </si>
  <si>
    <t xml:space="preserve">Antaget kg CO2 i förhållande till kg plast </t>
  </si>
  <si>
    <t>Clinical waste bins</t>
  </si>
  <si>
    <t>ef</t>
  </si>
  <si>
    <t>Pipettes</t>
  </si>
  <si>
    <t>Tubes</t>
  </si>
  <si>
    <t>Cell culture</t>
  </si>
  <si>
    <t xml:space="preserve">Andel handskar </t>
  </si>
  <si>
    <t xml:space="preserve">Andel kärl </t>
  </si>
  <si>
    <t xml:space="preserve">Resten </t>
  </si>
  <si>
    <t xml:space="preserve">Innan minskning: </t>
  </si>
  <si>
    <t xml:space="preserve">i procent </t>
  </si>
  <si>
    <t>CO2 minskning</t>
  </si>
  <si>
    <t>Andel kvar</t>
  </si>
  <si>
    <t>Difference total share waste bins</t>
  </si>
  <si>
    <t>Step 1</t>
  </si>
  <si>
    <t>Step 2</t>
  </si>
  <si>
    <t>Step 3</t>
  </si>
  <si>
    <t xml:space="preserve">Plastic </t>
  </si>
  <si>
    <t xml:space="preserve">Cost </t>
  </si>
  <si>
    <t>Plastic</t>
  </si>
  <si>
    <t xml:space="preserve">Clinical waste bins </t>
  </si>
  <si>
    <t>Step1</t>
  </si>
  <si>
    <t>Difference for waste bins</t>
  </si>
  <si>
    <t xml:space="preserve">For all plastic: </t>
  </si>
  <si>
    <t xml:space="preserve">Pipette tips </t>
  </si>
  <si>
    <t xml:space="preserve">Plastic: </t>
  </si>
  <si>
    <t xml:space="preserve">Tubes </t>
  </si>
  <si>
    <t xml:space="preserve">Costs decrease: </t>
  </si>
  <si>
    <t xml:space="preserve">Cost: </t>
  </si>
  <si>
    <t xml:space="preserve">Cell culture consumables </t>
  </si>
  <si>
    <t>Difference total share gloves</t>
  </si>
  <si>
    <t xml:space="preserve">Cost decrease: </t>
  </si>
  <si>
    <t>Cost</t>
  </si>
  <si>
    <t xml:space="preserve">Cost increase: </t>
  </si>
  <si>
    <t xml:space="preserve">Difference for gloves </t>
  </si>
  <si>
    <t>Difference for gloves</t>
  </si>
  <si>
    <t>Difference after steps</t>
  </si>
  <si>
    <t>Pre</t>
  </si>
  <si>
    <t>Post</t>
  </si>
  <si>
    <t>Total Plastics</t>
  </si>
  <si>
    <t xml:space="preserve">Total Costs </t>
  </si>
  <si>
    <t>Total CO2</t>
  </si>
  <si>
    <t xml:space="preserve">* assumed weight from UU-study </t>
  </si>
  <si>
    <t>Total</t>
  </si>
  <si>
    <t xml:space="preserve">Amount </t>
  </si>
  <si>
    <t>Parameters</t>
  </si>
  <si>
    <t>Weight [kg]*</t>
  </si>
  <si>
    <t xml:space="preserve">WoodSafe reduces amount of plastic with: </t>
  </si>
  <si>
    <t>kg plastic tot</t>
  </si>
  <si>
    <t xml:space="preserve">After reducing waste in waste bins </t>
  </si>
  <si>
    <t>Percentage reduction from reducing</t>
  </si>
  <si>
    <t>After  WoodSafe adoption</t>
  </si>
  <si>
    <t>Percentage reduction from adoption</t>
  </si>
  <si>
    <t>Remaining plastic:</t>
  </si>
  <si>
    <t>Reduction:</t>
  </si>
  <si>
    <t>For graphical visualisation</t>
  </si>
  <si>
    <t xml:space="preserve">Reduction of plastic in kg </t>
  </si>
  <si>
    <t>Size</t>
  </si>
  <si>
    <t>pre</t>
  </si>
  <si>
    <t>post</t>
  </si>
  <si>
    <t>TOTAL</t>
  </si>
  <si>
    <t xml:space="preserve">Reduction in percent </t>
  </si>
  <si>
    <t>Reduction</t>
  </si>
  <si>
    <t xml:space="preserve">Cost difference </t>
  </si>
  <si>
    <t xml:space="preserve">50L </t>
  </si>
  <si>
    <t xml:space="preserve">Reduse total units </t>
  </si>
  <si>
    <t>Substitute to WoodSafe</t>
  </si>
  <si>
    <t xml:space="preserve">Total cost difference </t>
  </si>
  <si>
    <t>Targets</t>
  </si>
  <si>
    <t>Assuming WoodSafe to be 1,5x as expensive than baseline bins</t>
  </si>
  <si>
    <t xml:space="preserve">Cost difference in percent </t>
  </si>
  <si>
    <t xml:space="preserve">Times more expensive with wastemanagement för hazardous waste than non-hazardous waste:  </t>
  </si>
  <si>
    <t>WoodSafe price approx. [SEK]</t>
  </si>
  <si>
    <t xml:space="preserve">Ratio prices </t>
  </si>
  <si>
    <t>Unit, clinical waste bins</t>
  </si>
  <si>
    <t>Unit ratio</t>
  </si>
  <si>
    <t>Cost ratio</t>
  </si>
  <si>
    <t xml:space="preserve">Graphical visualisation </t>
  </si>
  <si>
    <t xml:space="preserve">Total Cost Difference: </t>
  </si>
  <si>
    <t xml:space="preserve">Cost difference from reduction: </t>
  </si>
  <si>
    <t xml:space="preserve">Cost difference from adoption: </t>
  </si>
  <si>
    <t>Possible optimization of waste bin sizes</t>
  </si>
  <si>
    <t xml:space="preserve">Alternative </t>
  </si>
  <si>
    <t xml:space="preserve">1. 2L till 12L </t>
  </si>
  <si>
    <t xml:space="preserve">2 25L = 1 50L </t>
  </si>
  <si>
    <t xml:space="preserve">2. 3L till 12L </t>
  </si>
  <si>
    <t xml:space="preserve">6 2L = 1 12L </t>
  </si>
  <si>
    <t xml:space="preserve">3. 25L till 50L </t>
  </si>
  <si>
    <t xml:space="preserve">4 3L = 1 12L </t>
  </si>
  <si>
    <t>Ratios WoodSafe</t>
  </si>
  <si>
    <t>Volume [L]</t>
  </si>
  <si>
    <t>Plastic [kg]</t>
  </si>
  <si>
    <t>Price approx. [SEK]</t>
  </si>
  <si>
    <t>Ratio plastic/volume</t>
  </si>
  <si>
    <t>Price per litre</t>
  </si>
  <si>
    <t>Current amounts</t>
  </si>
  <si>
    <t>Savings per litre</t>
  </si>
  <si>
    <t>SEK</t>
  </si>
  <si>
    <t xml:space="preserve">New amounts: </t>
  </si>
  <si>
    <t xml:space="preserve">Reduced: </t>
  </si>
  <si>
    <t xml:space="preserve">Savings: </t>
  </si>
  <si>
    <t xml:space="preserve">Total savings: </t>
  </si>
  <si>
    <t xml:space="preserve">in percent: </t>
  </si>
  <si>
    <t>[%]</t>
  </si>
  <si>
    <t>Plastic reduction</t>
  </si>
  <si>
    <t xml:space="preserve">before woodsafe adoption and reduction of waste bins </t>
  </si>
  <si>
    <t>Weights</t>
  </si>
  <si>
    <t xml:space="preserve">Plastic per litre </t>
  </si>
  <si>
    <t xml:space="preserve">Plastic savings per litre </t>
  </si>
  <si>
    <t xml:space="preserve">Volume </t>
  </si>
  <si>
    <t>Plastic per litre</t>
  </si>
  <si>
    <t xml:space="preserve">Current: </t>
  </si>
  <si>
    <t>Amounts</t>
  </si>
  <si>
    <t>Total plastic weight</t>
  </si>
  <si>
    <t xml:space="preserve">Total </t>
  </si>
  <si>
    <t>Reduced</t>
  </si>
  <si>
    <t xml:space="preserve">Savings </t>
  </si>
  <si>
    <t xml:space="preserve">Total plastic savings: </t>
  </si>
  <si>
    <t xml:space="preserve">In percent: </t>
  </si>
  <si>
    <t>Plastic savings</t>
  </si>
  <si>
    <t>Cost savings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</si>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</sst>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0.0000%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36"/>
      <color rgb="FFFFFFFF"/>
      <name val="Calibri"/>
      <family val="2"/>
    </font>
    <font>
      <sz val="12"/>
      <color rgb="FF000000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4"/>
      <color rgb="FF000000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48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96B24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0">
    <xf numFmtId="0" fontId="0" fillId="0" borderId="0" xfId="0"/>
    <xf numFmtId="0" fontId="4" fillId="0" borderId="0" xfId="0" applyFont="1"/>
    <xf numFmtId="0" fontId="4" fillId="2" borderId="0" xfId="0" applyFont="1" applyFill="1"/>
    <xf numFmtId="0" fontId="4" fillId="3" borderId="0" xfId="0" applyFont="1" applyFill="1"/>
    <xf numFmtId="0" fontId="4" fillId="3" borderId="1" xfId="0" applyFont="1" applyFill="1" applyBorder="1"/>
    <xf numFmtId="0" fontId="4" fillId="3" borderId="2" xfId="0" applyFont="1" applyFill="1" applyBorder="1" applyAlignment="1">
      <alignment horizontal="center"/>
    </xf>
    <xf numFmtId="0" fontId="4" fillId="3" borderId="2" xfId="0" applyFont="1" applyFill="1" applyBorder="1"/>
    <xf numFmtId="0" fontId="5" fillId="3" borderId="2" xfId="0" applyFont="1" applyFill="1" applyBorder="1"/>
    <xf numFmtId="0" fontId="4" fillId="3" borderId="3" xfId="0" applyFont="1" applyFill="1" applyBorder="1"/>
    <xf numFmtId="0" fontId="4" fillId="3" borderId="4" xfId="0" applyFont="1" applyFill="1" applyBorder="1"/>
    <xf numFmtId="0" fontId="6" fillId="4" borderId="1" xfId="0" applyFont="1" applyFill="1" applyBorder="1"/>
    <xf numFmtId="0" fontId="6" fillId="4" borderId="2" xfId="0" applyFont="1" applyFill="1" applyBorder="1" applyAlignment="1">
      <alignment horizontal="center"/>
    </xf>
    <xf numFmtId="0" fontId="4" fillId="4" borderId="3" xfId="0" applyFont="1" applyFill="1" applyBorder="1"/>
    <xf numFmtId="0" fontId="4" fillId="3" borderId="5" xfId="0" applyFont="1" applyFill="1" applyBorder="1"/>
    <xf numFmtId="9" fontId="0" fillId="0" borderId="0" xfId="0" applyNumberFormat="1"/>
    <xf numFmtId="0" fontId="7" fillId="3" borderId="0" xfId="0" applyFont="1" applyFill="1"/>
    <xf numFmtId="0" fontId="4" fillId="3" borderId="6" xfId="0" applyFont="1" applyFill="1" applyBorder="1"/>
    <xf numFmtId="0" fontId="4" fillId="3" borderId="7" xfId="0" applyFont="1" applyFill="1" applyBorder="1"/>
    <xf numFmtId="0" fontId="4" fillId="3" borderId="8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6" fillId="6" borderId="1" xfId="0" applyFont="1" applyFill="1" applyBorder="1"/>
    <xf numFmtId="0" fontId="6" fillId="6" borderId="11" xfId="0" applyFont="1" applyFill="1" applyBorder="1"/>
    <xf numFmtId="0" fontId="4" fillId="6" borderId="12" xfId="0" applyFont="1" applyFill="1" applyBorder="1"/>
    <xf numFmtId="0" fontId="4" fillId="6" borderId="11" xfId="0" applyFont="1" applyFill="1" applyBorder="1"/>
    <xf numFmtId="0" fontId="4" fillId="6" borderId="13" xfId="0" applyFont="1" applyFill="1" applyBorder="1"/>
    <xf numFmtId="0" fontId="4" fillId="6" borderId="14" xfId="0" applyFont="1" applyFill="1" applyBorder="1"/>
    <xf numFmtId="0" fontId="4" fillId="6" borderId="3" xfId="0" applyFont="1" applyFill="1" applyBorder="1" applyAlignment="1">
      <alignment horizontal="right"/>
    </xf>
    <xf numFmtId="0" fontId="8" fillId="6" borderId="10" xfId="0" applyFont="1" applyFill="1" applyBorder="1"/>
    <xf numFmtId="0" fontId="8" fillId="6" borderId="12" xfId="0" applyFont="1" applyFill="1" applyBorder="1"/>
    <xf numFmtId="0" fontId="8" fillId="6" borderId="14" xfId="0" applyFont="1" applyFill="1" applyBorder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9" fontId="0" fillId="0" borderId="0" xfId="1" applyFont="1"/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7" borderId="0" xfId="0" applyFill="1"/>
    <xf numFmtId="0" fontId="4" fillId="6" borderId="2" xfId="0" applyFont="1" applyFill="1" applyBorder="1" applyAlignment="1">
      <alignment horizontal="right"/>
    </xf>
    <xf numFmtId="0" fontId="6" fillId="6" borderId="17" xfId="0" applyFont="1" applyFill="1" applyBorder="1"/>
    <xf numFmtId="0" fontId="4" fillId="8" borderId="0" xfId="0" applyFont="1" applyFill="1"/>
    <xf numFmtId="0" fontId="3" fillId="2" borderId="0" xfId="0" applyFont="1" applyFill="1"/>
    <xf numFmtId="0" fontId="6" fillId="4" borderId="9" xfId="0" applyFont="1" applyFill="1" applyBorder="1"/>
    <xf numFmtId="9" fontId="6" fillId="5" borderId="10" xfId="0" applyNumberFormat="1" applyFont="1" applyFill="1" applyBorder="1"/>
    <xf numFmtId="0" fontId="6" fillId="4" borderId="11" xfId="0" applyFont="1" applyFill="1" applyBorder="1"/>
    <xf numFmtId="9" fontId="6" fillId="5" borderId="12" xfId="0" applyNumberFormat="1" applyFont="1" applyFill="1" applyBorder="1"/>
    <xf numFmtId="0" fontId="6" fillId="4" borderId="13" xfId="0" applyFont="1" applyFill="1" applyBorder="1"/>
    <xf numFmtId="9" fontId="6" fillId="5" borderId="14" xfId="0" applyNumberFormat="1" applyFont="1" applyFill="1" applyBorder="1"/>
    <xf numFmtId="0" fontId="6" fillId="4" borderId="3" xfId="0" applyFont="1" applyFill="1" applyBorder="1" applyAlignment="1">
      <alignment horizontal="center"/>
    </xf>
    <xf numFmtId="0" fontId="4" fillId="8" borderId="4" xfId="0" applyFont="1" applyFill="1" applyBorder="1"/>
    <xf numFmtId="0" fontId="6" fillId="8" borderId="0" xfId="0" applyFont="1" applyFill="1"/>
    <xf numFmtId="9" fontId="6" fillId="8" borderId="0" xfId="0" applyNumberFormat="1" applyFont="1" applyFill="1"/>
    <xf numFmtId="0" fontId="4" fillId="8" borderId="6" xfId="0" applyFont="1" applyFill="1" applyBorder="1"/>
    <xf numFmtId="0" fontId="6" fillId="8" borderId="7" xfId="0" applyFont="1" applyFill="1" applyBorder="1"/>
    <xf numFmtId="9" fontId="6" fillId="8" borderId="7" xfId="0" applyNumberFormat="1" applyFont="1" applyFill="1" applyBorder="1"/>
    <xf numFmtId="0" fontId="4" fillId="8" borderId="7" xfId="0" applyFont="1" applyFill="1" applyBorder="1"/>
    <xf numFmtId="0" fontId="4" fillId="8" borderId="1" xfId="0" applyFont="1" applyFill="1" applyBorder="1"/>
    <xf numFmtId="0" fontId="6" fillId="8" borderId="2" xfId="0" applyFont="1" applyFill="1" applyBorder="1"/>
    <xf numFmtId="9" fontId="6" fillId="8" borderId="2" xfId="0" applyNumberFormat="1" applyFont="1" applyFill="1" applyBorder="1"/>
    <xf numFmtId="0" fontId="4" fillId="8" borderId="2" xfId="0" applyFont="1" applyFill="1" applyBorder="1"/>
    <xf numFmtId="0" fontId="0" fillId="9" borderId="0" xfId="0" applyFill="1"/>
    <xf numFmtId="1" fontId="4" fillId="6" borderId="18" xfId="0" applyNumberFormat="1" applyFont="1" applyFill="1" applyBorder="1"/>
    <xf numFmtId="1" fontId="4" fillId="6" borderId="19" xfId="0" applyNumberFormat="1" applyFont="1" applyFill="1" applyBorder="1"/>
    <xf numFmtId="1" fontId="4" fillId="6" borderId="20" xfId="0" applyNumberFormat="1" applyFont="1" applyFill="1" applyBorder="1"/>
    <xf numFmtId="0" fontId="6" fillId="3" borderId="2" xfId="0" applyFont="1" applyFill="1" applyBorder="1"/>
    <xf numFmtId="0" fontId="4" fillId="4" borderId="10" xfId="0" applyFont="1" applyFill="1" applyBorder="1"/>
    <xf numFmtId="0" fontId="4" fillId="4" borderId="12" xfId="0" applyFont="1" applyFill="1" applyBorder="1"/>
    <xf numFmtId="0" fontId="2" fillId="0" borderId="11" xfId="0" applyFont="1" applyBorder="1"/>
    <xf numFmtId="0" fontId="0" fillId="0" borderId="12" xfId="0" applyBorder="1"/>
    <xf numFmtId="0" fontId="0" fillId="0" borderId="14" xfId="0" applyBorder="1"/>
    <xf numFmtId="0" fontId="2" fillId="0" borderId="13" xfId="0" applyFont="1" applyBorder="1"/>
    <xf numFmtId="0" fontId="9" fillId="0" borderId="11" xfId="0" applyFont="1" applyBorder="1"/>
    <xf numFmtId="9" fontId="6" fillId="10" borderId="15" xfId="1" applyFont="1" applyFill="1" applyBorder="1"/>
    <xf numFmtId="9" fontId="6" fillId="10" borderId="0" xfId="1" applyFont="1" applyFill="1" applyBorder="1"/>
    <xf numFmtId="9" fontId="2" fillId="11" borderId="0" xfId="1" applyFont="1" applyFill="1" applyBorder="1"/>
    <xf numFmtId="9" fontId="2" fillId="11" borderId="16" xfId="1" applyFont="1" applyFill="1" applyBorder="1"/>
    <xf numFmtId="0" fontId="6" fillId="4" borderId="21" xfId="0" applyFont="1" applyFill="1" applyBorder="1"/>
    <xf numFmtId="9" fontId="6" fillId="10" borderId="22" xfId="0" applyNumberFormat="1" applyFont="1" applyFill="1" applyBorder="1"/>
    <xf numFmtId="0" fontId="4" fillId="4" borderId="23" xfId="0" applyFont="1" applyFill="1" applyBorder="1"/>
    <xf numFmtId="0" fontId="6" fillId="6" borderId="13" xfId="0" applyFont="1" applyFill="1" applyBorder="1"/>
    <xf numFmtId="0" fontId="10" fillId="0" borderId="12" xfId="0" applyFont="1" applyBorder="1"/>
    <xf numFmtId="0" fontId="4" fillId="3" borderId="3" xfId="0" applyFont="1" applyFill="1" applyBorder="1" applyAlignment="1">
      <alignment horizontal="center"/>
    </xf>
    <xf numFmtId="164" fontId="0" fillId="0" borderId="0" xfId="1" applyNumberFormat="1" applyFont="1"/>
    <xf numFmtId="164" fontId="11" fillId="3" borderId="0" xfId="0" applyNumberFormat="1" applyFont="1" applyFill="1" applyAlignment="1">
      <alignment horizontal="center"/>
    </xf>
    <xf numFmtId="0" fontId="0" fillId="12" borderId="0" xfId="0" applyFill="1"/>
    <xf numFmtId="1" fontId="8" fillId="6" borderId="10" xfId="0" applyNumberFormat="1" applyFont="1" applyFill="1" applyBorder="1"/>
    <xf numFmtId="1" fontId="8" fillId="6" borderId="12" xfId="0" applyNumberFormat="1" applyFont="1" applyFill="1" applyBorder="1"/>
    <xf numFmtId="166" fontId="0" fillId="0" borderId="0" xfId="1" applyNumberFormat="1" applyFont="1"/>
    <xf numFmtId="0" fontId="0" fillId="13" borderId="1" xfId="0" applyFill="1" applyBorder="1"/>
    <xf numFmtId="0" fontId="0" fillId="13" borderId="2" xfId="0" applyFill="1" applyBorder="1"/>
    <xf numFmtId="0" fontId="0" fillId="13" borderId="3" xfId="0" applyFill="1" applyBorder="1"/>
    <xf numFmtId="0" fontId="2" fillId="13" borderId="4" xfId="0" applyFont="1" applyFill="1" applyBorder="1"/>
    <xf numFmtId="0" fontId="2" fillId="13" borderId="0" xfId="0" applyFont="1" applyFill="1"/>
    <xf numFmtId="0" fontId="0" fillId="13" borderId="0" xfId="0" applyFill="1"/>
    <xf numFmtId="9" fontId="0" fillId="13" borderId="0" xfId="0" applyNumberFormat="1" applyFill="1"/>
    <xf numFmtId="0" fontId="0" fillId="13" borderId="5" xfId="0" applyFill="1" applyBorder="1"/>
    <xf numFmtId="0" fontId="0" fillId="13" borderId="4" xfId="0" applyFill="1" applyBorder="1"/>
    <xf numFmtId="0" fontId="0" fillId="13" borderId="0" xfId="0" applyFill="1" applyAlignment="1">
      <alignment horizontal="center"/>
    </xf>
    <xf numFmtId="0" fontId="0" fillId="13" borderId="6" xfId="0" applyFill="1" applyBorder="1"/>
    <xf numFmtId="0" fontId="0" fillId="13" borderId="7" xfId="0" applyFill="1" applyBorder="1"/>
    <xf numFmtId="0" fontId="0" fillId="13" borderId="8" xfId="0" applyFill="1" applyBorder="1"/>
    <xf numFmtId="10" fontId="15" fillId="13" borderId="0" xfId="0" applyNumberFormat="1" applyFont="1" applyFill="1"/>
    <xf numFmtId="10" fontId="15" fillId="13" borderId="0" xfId="1" applyNumberFormat="1" applyFont="1" applyFill="1" applyBorder="1"/>
    <xf numFmtId="10" fontId="15" fillId="13" borderId="0" xfId="0" applyNumberFormat="1" applyFont="1" applyFill="1" applyAlignment="1">
      <alignment horizontal="center"/>
    </xf>
    <xf numFmtId="10" fontId="15" fillId="13" borderId="7" xfId="0" applyNumberFormat="1" applyFont="1" applyFill="1" applyBorder="1"/>
    <xf numFmtId="10" fontId="15" fillId="13" borderId="2" xfId="0" applyNumberFormat="1" applyFont="1" applyFill="1" applyBorder="1"/>
    <xf numFmtId="0" fontId="0" fillId="13" borderId="0" xfId="0" applyFill="1" applyAlignment="1">
      <alignment horizontal="left"/>
    </xf>
    <xf numFmtId="10" fontId="15" fillId="9" borderId="0" xfId="0" applyNumberFormat="1" applyFont="1" applyFill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14" borderId="0" xfId="0" applyFill="1"/>
    <xf numFmtId="0" fontId="14" fillId="14" borderId="0" xfId="0" applyFont="1" applyFill="1"/>
    <xf numFmtId="0" fontId="0" fillId="14" borderId="0" xfId="0" applyFill="1" applyAlignment="1">
      <alignment vertical="center"/>
    </xf>
    <xf numFmtId="0" fontId="23" fillId="12" borderId="0" xfId="0" applyFont="1" applyFill="1" applyAlignment="1">
      <alignment horizontal="center" vertical="center"/>
    </xf>
    <xf numFmtId="2" fontId="0" fillId="0" borderId="0" xfId="1" applyNumberFormat="1" applyFont="1"/>
    <xf numFmtId="0" fontId="13" fillId="12" borderId="0" xfId="0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left"/>
    </xf>
    <xf numFmtId="0" fontId="16" fillId="12" borderId="0" xfId="0" applyFont="1" applyFill="1" applyAlignment="1">
      <alignment horizontal="center"/>
    </xf>
    <xf numFmtId="0" fontId="14" fillId="13" borderId="1" xfId="0" applyFont="1" applyFill="1" applyBorder="1" applyAlignment="1">
      <alignment horizontal="center" vertical="center" wrapText="1"/>
    </xf>
    <xf numFmtId="0" fontId="14" fillId="13" borderId="2" xfId="0" applyFont="1" applyFill="1" applyBorder="1" applyAlignment="1">
      <alignment horizontal="center" vertical="center" wrapText="1"/>
    </xf>
    <xf numFmtId="0" fontId="14" fillId="13" borderId="3" xfId="0" applyFont="1" applyFill="1" applyBorder="1" applyAlignment="1">
      <alignment horizontal="center" vertical="center" wrapText="1"/>
    </xf>
    <xf numFmtId="0" fontId="14" fillId="13" borderId="4" xfId="0" applyFont="1" applyFill="1" applyBorder="1" applyAlignment="1">
      <alignment horizontal="center" vertical="center" wrapText="1"/>
    </xf>
    <xf numFmtId="0" fontId="14" fillId="13" borderId="0" xfId="0" applyFont="1" applyFill="1" applyAlignment="1">
      <alignment horizontal="center" vertical="center" wrapText="1"/>
    </xf>
    <xf numFmtId="0" fontId="14" fillId="13" borderId="5" xfId="0" applyFont="1" applyFill="1" applyBorder="1" applyAlignment="1">
      <alignment horizontal="center" vertical="center" wrapText="1"/>
    </xf>
    <xf numFmtId="0" fontId="14" fillId="13" borderId="6" xfId="0" applyFont="1" applyFill="1" applyBorder="1" applyAlignment="1">
      <alignment horizontal="center" vertical="center" wrapText="1"/>
    </xf>
    <xf numFmtId="0" fontId="14" fillId="13" borderId="7" xfId="0" applyFont="1" applyFill="1" applyBorder="1" applyAlignment="1">
      <alignment horizontal="center" vertical="center" wrapText="1"/>
    </xf>
    <xf numFmtId="0" fontId="14" fillId="13" borderId="8" xfId="0" applyFont="1" applyFill="1" applyBorder="1" applyAlignment="1">
      <alignment horizontal="center" vertical="center" wrapText="1"/>
    </xf>
    <xf numFmtId="0" fontId="12" fillId="12" borderId="0" xfId="0" applyFont="1" applyFill="1" applyAlignment="1">
      <alignment horizontal="center" vertical="center" wrapText="1"/>
    </xf>
    <xf numFmtId="0" fontId="12" fillId="15" borderId="0" xfId="0" applyFont="1" applyFill="1" applyAlignment="1">
      <alignment horizontal="center" vertical="center" wrapText="1"/>
    </xf>
    <xf numFmtId="0" fontId="21" fillId="15" borderId="0" xfId="0" applyFont="1" applyFill="1" applyAlignment="1">
      <alignment horizontal="center" vertical="center"/>
    </xf>
    <xf numFmtId="0" fontId="17" fillId="13" borderId="1" xfId="0" applyFont="1" applyFill="1" applyBorder="1" applyAlignment="1">
      <alignment horizontal="center" vertical="center" wrapText="1"/>
    </xf>
    <xf numFmtId="0" fontId="17" fillId="13" borderId="2" xfId="0" applyFont="1" applyFill="1" applyBorder="1" applyAlignment="1">
      <alignment horizontal="center" vertical="center" wrapText="1"/>
    </xf>
    <xf numFmtId="0" fontId="17" fillId="13" borderId="4" xfId="0" applyFont="1" applyFill="1" applyBorder="1" applyAlignment="1">
      <alignment horizontal="center" vertical="center" wrapText="1"/>
    </xf>
    <xf numFmtId="0" fontId="17" fillId="13" borderId="0" xfId="0" applyFont="1" applyFill="1" applyAlignment="1">
      <alignment horizontal="center" vertical="center" wrapText="1"/>
    </xf>
    <xf numFmtId="0" fontId="17" fillId="13" borderId="6" xfId="0" applyFont="1" applyFill="1" applyBorder="1" applyAlignment="1">
      <alignment horizontal="center" vertical="center" wrapText="1"/>
    </xf>
    <xf numFmtId="0" fontId="17" fillId="13" borderId="7" xfId="0" applyFont="1" applyFill="1" applyBorder="1" applyAlignment="1">
      <alignment horizontal="center" vertical="center" wrapText="1"/>
    </xf>
    <xf numFmtId="10" fontId="17" fillId="13" borderId="2" xfId="1" applyNumberFormat="1" applyFont="1" applyFill="1" applyBorder="1" applyAlignment="1">
      <alignment horizontal="center" wrapText="1"/>
    </xf>
    <xf numFmtId="10" fontId="17" fillId="13" borderId="3" xfId="1" applyNumberFormat="1" applyFont="1" applyFill="1" applyBorder="1" applyAlignment="1">
      <alignment horizontal="center" wrapText="1"/>
    </xf>
    <xf numFmtId="10" fontId="17" fillId="13" borderId="0" xfId="1" applyNumberFormat="1" applyFont="1" applyFill="1" applyBorder="1" applyAlignment="1">
      <alignment horizontal="center" wrapText="1"/>
    </xf>
    <xf numFmtId="10" fontId="17" fillId="13" borderId="5" xfId="1" applyNumberFormat="1" applyFont="1" applyFill="1" applyBorder="1" applyAlignment="1">
      <alignment horizontal="center" wrapText="1"/>
    </xf>
    <xf numFmtId="10" fontId="17" fillId="13" borderId="7" xfId="1" applyNumberFormat="1" applyFont="1" applyFill="1" applyBorder="1" applyAlignment="1">
      <alignment horizontal="center" wrapText="1"/>
    </xf>
    <xf numFmtId="10" fontId="17" fillId="13" borderId="8" xfId="1" applyNumberFormat="1" applyFont="1" applyFill="1" applyBorder="1" applyAlignment="1">
      <alignment horizontal="center" wrapText="1"/>
    </xf>
    <xf numFmtId="10" fontId="17" fillId="13" borderId="2" xfId="0" applyNumberFormat="1" applyFont="1" applyFill="1" applyBorder="1" applyAlignment="1">
      <alignment horizontal="center" wrapText="1"/>
    </xf>
    <xf numFmtId="10" fontId="17" fillId="13" borderId="3" xfId="0" applyNumberFormat="1" applyFont="1" applyFill="1" applyBorder="1" applyAlignment="1">
      <alignment horizontal="center" wrapText="1"/>
    </xf>
    <xf numFmtId="10" fontId="17" fillId="13" borderId="0" xfId="0" applyNumberFormat="1" applyFont="1" applyFill="1" applyAlignment="1">
      <alignment horizontal="center" wrapText="1"/>
    </xf>
    <xf numFmtId="10" fontId="17" fillId="13" borderId="5" xfId="0" applyNumberFormat="1" applyFont="1" applyFill="1" applyBorder="1" applyAlignment="1">
      <alignment horizontal="center" wrapText="1"/>
    </xf>
    <xf numFmtId="10" fontId="17" fillId="13" borderId="7" xfId="0" applyNumberFormat="1" applyFont="1" applyFill="1" applyBorder="1" applyAlignment="1">
      <alignment horizontal="center" wrapText="1"/>
    </xf>
    <xf numFmtId="10" fontId="17" fillId="13" borderId="8" xfId="0" applyNumberFormat="1" applyFont="1" applyFill="1" applyBorder="1" applyAlignment="1">
      <alignment horizontal="center" wrapText="1"/>
    </xf>
    <xf numFmtId="0" fontId="22" fillId="15" borderId="0" xfId="0" applyFont="1" applyFill="1" applyAlignment="1">
      <alignment horizontal="center" vertical="center"/>
    </xf>
    <xf numFmtId="0" fontId="18" fillId="13" borderId="0" xfId="0" applyFont="1" applyFill="1" applyAlignment="1">
      <alignment horizontal="center" vertical="center" wrapText="1"/>
    </xf>
    <xf numFmtId="9" fontId="20" fillId="13" borderId="0" xfId="1" applyFont="1" applyFill="1" applyAlignment="1">
      <alignment horizontal="center" vertical="center"/>
    </xf>
    <xf numFmtId="0" fontId="16" fillId="12" borderId="0" xfId="0" applyFont="1" applyFill="1" applyAlignment="1">
      <alignment horizontal="left"/>
    </xf>
    <xf numFmtId="9" fontId="19" fillId="13" borderId="0" xfId="1" applyFont="1" applyFill="1" applyAlignment="1">
      <alignment horizontal="center" vertical="center"/>
    </xf>
    <xf numFmtId="0" fontId="21" fillId="12" borderId="0" xfId="0" applyFont="1" applyFill="1" applyAlignment="1">
      <alignment horizontal="center" vertical="center"/>
    </xf>
    <xf numFmtId="10" fontId="17" fillId="13" borderId="2" xfId="0" applyNumberFormat="1" applyFont="1" applyFill="1" applyBorder="1" applyAlignment="1">
      <alignment horizontal="center"/>
    </xf>
    <xf numFmtId="10" fontId="17" fillId="13" borderId="3" xfId="0" applyNumberFormat="1" applyFont="1" applyFill="1" applyBorder="1" applyAlignment="1">
      <alignment horizontal="center"/>
    </xf>
    <xf numFmtId="10" fontId="17" fillId="13" borderId="7" xfId="0" applyNumberFormat="1" applyFont="1" applyFill="1" applyBorder="1" applyAlignment="1">
      <alignment horizontal="center"/>
    </xf>
    <xf numFmtId="10" fontId="17" fillId="13" borderId="8" xfId="0" applyNumberFormat="1" applyFont="1" applyFill="1" applyBorder="1" applyAlignment="1">
      <alignment horizontal="center"/>
    </xf>
    <xf numFmtId="0" fontId="23" fillId="12" borderId="7" xfId="0" applyFont="1" applyFill="1" applyBorder="1" applyAlignment="1">
      <alignment horizontal="center" vertical="center"/>
    </xf>
    <xf numFmtId="0" fontId="22" fillId="12" borderId="7" xfId="0" applyFont="1" applyFill="1" applyBorder="1" applyAlignment="1">
      <alignment horizontal="center" vertical="center"/>
    </xf>
    <xf numFmtId="0" fontId="4" fillId="3" borderId="0" xfId="0" applyFont="1" applyFill="1"/>
    <xf numFmtId="0" fontId="4" fillId="3" borderId="5" xfId="0" applyFont="1" applyFill="1" applyBorder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3" borderId="7" xfId="0" applyFont="1" applyFill="1" applyBorder="1"/>
    <xf numFmtId="0" fontId="4" fillId="3" borderId="8" xfId="0" applyFont="1" applyFill="1" applyBorder="1"/>
    <xf numFmtId="0" fontId="4" fillId="8" borderId="0" xfId="0" applyFont="1" applyFill="1"/>
    <xf numFmtId="0" fontId="4" fillId="8" borderId="5" xfId="0" applyFont="1" applyFill="1" applyBorder="1"/>
    <xf numFmtId="0" fontId="4" fillId="3" borderId="4" xfId="0" applyFont="1" applyFill="1" applyBorder="1"/>
    <xf numFmtId="0" fontId="5" fillId="3" borderId="1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2">
    <dxf>
      <font>
        <color theme="5" tint="-0.24994659260841701"/>
      </font>
    </dxf>
    <dxf>
      <font>
        <color theme="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Total</a:t>
            </a:r>
            <a:r>
              <a:rPr lang="sv-SE" baseline="0"/>
              <a:t> amount of plastic and cost pre- and post-actions, in percent</a:t>
            </a:r>
            <a:endParaRPr lang="sv-S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reduction visuals'!$D$36</c:f>
              <c:strCache>
                <c:ptCount val="1"/>
                <c:pt idx="0">
                  <c:v>Pre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'Total reduction visuals'!$C$37:$C$38</c:f>
              <c:strCache>
                <c:ptCount val="2"/>
                <c:pt idx="0">
                  <c:v>Total Plastics</c:v>
                </c:pt>
                <c:pt idx="1">
                  <c:v>Total Costs </c:v>
                </c:pt>
              </c:strCache>
            </c:strRef>
          </c:cat>
          <c:val>
            <c:numRef>
              <c:f>'Total reduction visuals'!$D$37:$D$38</c:f>
              <c:numCache>
                <c:formatCode>0%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84-4463-9638-BD1A6BA639DF}"/>
            </c:ext>
          </c:extLst>
        </c:ser>
        <c:ser>
          <c:idx val="1"/>
          <c:order val="1"/>
          <c:tx>
            <c:strRef>
              <c:f>'Total reduction visuals'!$E$36</c:f>
              <c:strCache>
                <c:ptCount val="1"/>
                <c:pt idx="0">
                  <c:v>Post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'Total reduction visuals'!$C$37:$C$38</c:f>
              <c:strCache>
                <c:ptCount val="2"/>
                <c:pt idx="0">
                  <c:v>Total Plastics</c:v>
                </c:pt>
                <c:pt idx="1">
                  <c:v>Total Costs </c:v>
                </c:pt>
              </c:strCache>
            </c:strRef>
          </c:cat>
          <c:val>
            <c:numRef>
              <c:f>'Total reduction visuals'!$E$37:$E$38</c:f>
              <c:numCache>
                <c:formatCode>0.0%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84-4463-9638-BD1A6BA63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3534448"/>
        <c:axId val="1543533488"/>
      </c:barChart>
      <c:catAx>
        <c:axId val="154353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543533488"/>
        <c:crosses val="autoZero"/>
        <c:auto val="1"/>
        <c:lblAlgn val="ctr"/>
        <c:lblOffset val="100"/>
        <c:noMultiLvlLbl val="0"/>
      </c:catAx>
      <c:valAx>
        <c:axId val="154353348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543534448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 sz="2500" baseline="0"/>
              <a:t>Total Plastics, Costs and CO2 pre- and post-actions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reduction visuals'!$D$36</c:f>
              <c:strCache>
                <c:ptCount val="1"/>
                <c:pt idx="0">
                  <c:v>Pre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reduction visuals'!$C$37:$C$39</c:f>
              <c:strCache>
                <c:ptCount val="3"/>
                <c:pt idx="0">
                  <c:v>Total Plastics</c:v>
                </c:pt>
                <c:pt idx="1">
                  <c:v>Total Costs </c:v>
                </c:pt>
                <c:pt idx="2">
                  <c:v>Total CO2</c:v>
                </c:pt>
              </c:strCache>
            </c:strRef>
          </c:cat>
          <c:val>
            <c:numRef>
              <c:f>'Total reduction visuals'!$D$37:$D$39</c:f>
              <c:numCache>
                <c:formatCode>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7-47B3-A090-7FAFFD747875}"/>
            </c:ext>
          </c:extLst>
        </c:ser>
        <c:ser>
          <c:idx val="1"/>
          <c:order val="1"/>
          <c:tx>
            <c:strRef>
              <c:f>'Total reduction visuals'!$E$36</c:f>
              <c:strCache>
                <c:ptCount val="1"/>
                <c:pt idx="0">
                  <c:v>Post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reduction visuals'!$C$37:$C$39</c:f>
              <c:strCache>
                <c:ptCount val="3"/>
                <c:pt idx="0">
                  <c:v>Total Plastics</c:v>
                </c:pt>
                <c:pt idx="1">
                  <c:v>Total Costs </c:v>
                </c:pt>
                <c:pt idx="2">
                  <c:v>Total CO2</c:v>
                </c:pt>
              </c:strCache>
            </c:strRef>
          </c:cat>
          <c:val>
            <c:numRef>
              <c:f>'Total reduction visuals'!$E$37:$E$39</c:f>
              <c:numCache>
                <c:formatCode>0.0%</c:formatCode>
                <c:ptCount val="3"/>
                <c:pt idx="0">
                  <c:v>1</c:v>
                </c:pt>
                <c:pt idx="1">
                  <c:v>1</c:v>
                </c:pt>
                <c:pt idx="2" formatCode="0%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A7-47B3-A090-7FAFFD7478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41893551"/>
        <c:axId val="841891631"/>
      </c:barChart>
      <c:catAx>
        <c:axId val="841893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841891631"/>
        <c:crosses val="autoZero"/>
        <c:auto val="1"/>
        <c:lblAlgn val="ctr"/>
        <c:lblOffset val="100"/>
        <c:noMultiLvlLbl val="0"/>
      </c:catAx>
      <c:valAx>
        <c:axId val="841891631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841893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Savings from</a:t>
            </a:r>
            <a:r>
              <a:rPr lang="sv-SE" baseline="0"/>
              <a:t> optimization </a:t>
            </a:r>
            <a:endParaRPr lang="sv-S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>
        <c:manualLayout>
          <c:layoutTarget val="inner"/>
          <c:xMode val="edge"/>
          <c:yMode val="edge"/>
          <c:x val="7.8372703412073488E-2"/>
          <c:y val="0.15782407407407409"/>
          <c:w val="0.8966272965879265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Optimization!$D$11:$D$12</c:f>
              <c:strCache>
                <c:ptCount val="2"/>
                <c:pt idx="0">
                  <c:v>Plastic savings</c:v>
                </c:pt>
                <c:pt idx="1">
                  <c:v>Cost savings</c:v>
                </c:pt>
              </c:strCache>
            </c:strRef>
          </c:cat>
          <c:val>
            <c:numRef>
              <c:f>Optimization!$E$11:$E$12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1C-405C-B13C-056CA0A3A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4359296"/>
        <c:axId val="954358336"/>
      </c:barChart>
      <c:catAx>
        <c:axId val="95435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954358336"/>
        <c:crosses val="autoZero"/>
        <c:auto val="1"/>
        <c:lblAlgn val="ctr"/>
        <c:lblOffset val="100"/>
        <c:noMultiLvlLbl val="0"/>
      </c:catAx>
      <c:valAx>
        <c:axId val="954358336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95435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Reduction of plastic</a:t>
            </a:r>
            <a:r>
              <a:rPr lang="sv-SE" baseline="0"/>
              <a:t> in kg</a:t>
            </a:r>
            <a:endParaRPr lang="sv-S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'Plastic reduction '!$C$18</c:f>
              <c:strCache>
                <c:ptCount val="1"/>
                <c:pt idx="0">
                  <c:v>pre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'Plastic reduction '!$B$19:$B$26</c:f>
              <c:strCache>
                <c:ptCount val="8"/>
                <c:pt idx="0">
                  <c:v>50L</c:v>
                </c:pt>
                <c:pt idx="1">
                  <c:v>25L</c:v>
                </c:pt>
                <c:pt idx="2">
                  <c:v>12L</c:v>
                </c:pt>
                <c:pt idx="3">
                  <c:v>6L</c:v>
                </c:pt>
                <c:pt idx="4">
                  <c:v>3L</c:v>
                </c:pt>
                <c:pt idx="5">
                  <c:v>2L</c:v>
                </c:pt>
                <c:pt idx="6">
                  <c:v>0,5L</c:v>
                </c:pt>
                <c:pt idx="7">
                  <c:v>TOTAL</c:v>
                </c:pt>
              </c:strCache>
            </c:strRef>
          </c:cat>
          <c:val>
            <c:numRef>
              <c:f>'Plastic reduction '!$C$19:$C$26</c:f>
              <c:numCache>
                <c:formatCode>General</c:formatCode>
                <c:ptCount val="8"/>
                <c:pt idx="0">
                  <c:v>111781.72500000001</c:v>
                </c:pt>
                <c:pt idx="1">
                  <c:v>4783.25</c:v>
                </c:pt>
                <c:pt idx="2">
                  <c:v>0</c:v>
                </c:pt>
                <c:pt idx="3">
                  <c:v>33.164999999999999</c:v>
                </c:pt>
                <c:pt idx="4">
                  <c:v>211.20500000000001</c:v>
                </c:pt>
                <c:pt idx="5">
                  <c:v>344.74</c:v>
                </c:pt>
                <c:pt idx="6">
                  <c:v>0</c:v>
                </c:pt>
                <c:pt idx="7">
                  <c:v>117154.08500000001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03-491B-84A4-32191DE9DBDC}"/>
            </c:ext>
          </c:extLst>
        </c:ser>
        <c:ser>
          <c:idx val="1"/>
          <c:order val="1"/>
          <c:tx>
            <c:strRef>
              <c:f>'Plastic reduction '!$D$18</c:f>
              <c:strCache>
                <c:ptCount val="1"/>
                <c:pt idx="0">
                  <c:v>post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'Plastic reduction '!$B$19:$B$26</c:f>
              <c:strCache>
                <c:ptCount val="8"/>
                <c:pt idx="0">
                  <c:v>50L</c:v>
                </c:pt>
                <c:pt idx="1">
                  <c:v>25L</c:v>
                </c:pt>
                <c:pt idx="2">
                  <c:v>12L</c:v>
                </c:pt>
                <c:pt idx="3">
                  <c:v>6L</c:v>
                </c:pt>
                <c:pt idx="4">
                  <c:v>3L</c:v>
                </c:pt>
                <c:pt idx="5">
                  <c:v>2L</c:v>
                </c:pt>
                <c:pt idx="6">
                  <c:v>0,5L</c:v>
                </c:pt>
                <c:pt idx="7">
                  <c:v>TOTAL</c:v>
                </c:pt>
              </c:strCache>
            </c:strRef>
          </c:cat>
          <c:val>
            <c:numRef>
              <c:f>'Plastic reduction '!$D$19:$D$26</c:f>
              <c:numCache>
                <c:formatCode>0.0</c:formatCode>
                <c:ptCount val="8"/>
                <c:pt idx="0">
                  <c:v>111781.72500000001</c:v>
                </c:pt>
                <c:pt idx="1">
                  <c:v>4783.25</c:v>
                </c:pt>
                <c:pt idx="2">
                  <c:v>0</c:v>
                </c:pt>
                <c:pt idx="3" formatCode="General">
                  <c:v>33.164999999999999</c:v>
                </c:pt>
                <c:pt idx="4" formatCode="General">
                  <c:v>211.20500000000001</c:v>
                </c:pt>
                <c:pt idx="5">
                  <c:v>344.74</c:v>
                </c:pt>
                <c:pt idx="6" formatCode="General">
                  <c:v>0</c:v>
                </c:pt>
                <c:pt idx="7">
                  <c:v>117154.08500000001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03-491B-84A4-32191DE9D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5900064"/>
        <c:axId val="1425900544"/>
      </c:barChart>
      <c:catAx>
        <c:axId val="142590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425900544"/>
        <c:crosses val="autoZero"/>
        <c:auto val="1"/>
        <c:lblAlgn val="ctr"/>
        <c:lblOffset val="100"/>
        <c:noMultiLvlLbl val="0"/>
      </c:catAx>
      <c:valAx>
        <c:axId val="142590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42590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Plastic reduction vs. Cost increase</a:t>
            </a:r>
          </a:p>
        </c:rich>
      </c:tx>
      <c:layout>
        <c:manualLayout>
          <c:xMode val="edge"/>
          <c:yMode val="edge"/>
          <c:x val="0.25207853241385275"/>
          <c:y val="2.6937160059756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'Spend vs. activity based visual'!$D$2:$D$3</c:f>
              <c:strCache>
                <c:ptCount val="2"/>
                <c:pt idx="0">
                  <c:v>[%]</c:v>
                </c:pt>
                <c:pt idx="1">
                  <c:v>Plastic reduction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'Spend vs. activity based visual'!$C$4:$C$11</c:f>
              <c:strCache>
                <c:ptCount val="8"/>
                <c:pt idx="0">
                  <c:v>50L</c:v>
                </c:pt>
                <c:pt idx="1">
                  <c:v>25L</c:v>
                </c:pt>
                <c:pt idx="2">
                  <c:v>12L</c:v>
                </c:pt>
                <c:pt idx="3">
                  <c:v>6L</c:v>
                </c:pt>
                <c:pt idx="4">
                  <c:v>3L</c:v>
                </c:pt>
                <c:pt idx="5">
                  <c:v>2L</c:v>
                </c:pt>
                <c:pt idx="6">
                  <c:v>0,5L</c:v>
                </c:pt>
                <c:pt idx="7">
                  <c:v>TOTAL</c:v>
                </c:pt>
              </c:strCache>
            </c:strRef>
          </c:cat>
          <c:val>
            <c:numRef>
              <c:f>'Spend vs. activity based visual'!$D$4:$D$11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E2-4CB8-B5A4-7195E7255F61}"/>
            </c:ext>
          </c:extLst>
        </c:ser>
        <c:ser>
          <c:idx val="1"/>
          <c:order val="1"/>
          <c:tx>
            <c:strRef>
              <c:f>'Spend vs. activity based visual'!$E$2:$E$3</c:f>
              <c:strCache>
                <c:ptCount val="2"/>
                <c:pt idx="0">
                  <c:v>[%]</c:v>
                </c:pt>
                <c:pt idx="1">
                  <c:v>Cost increase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'Spend vs. activity based visual'!$C$4:$C$11</c:f>
              <c:strCache>
                <c:ptCount val="8"/>
                <c:pt idx="0">
                  <c:v>50L</c:v>
                </c:pt>
                <c:pt idx="1">
                  <c:v>25L</c:v>
                </c:pt>
                <c:pt idx="2">
                  <c:v>12L</c:v>
                </c:pt>
                <c:pt idx="3">
                  <c:v>6L</c:v>
                </c:pt>
                <c:pt idx="4">
                  <c:v>3L</c:v>
                </c:pt>
                <c:pt idx="5">
                  <c:v>2L</c:v>
                </c:pt>
                <c:pt idx="6">
                  <c:v>0,5L</c:v>
                </c:pt>
                <c:pt idx="7">
                  <c:v>TOTAL</c:v>
                </c:pt>
              </c:strCache>
            </c:strRef>
          </c:cat>
          <c:val>
            <c:numRef>
              <c:f>'Spend vs. activity based visual'!$E$4:$E$11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E2-4CB8-B5A4-7195E7255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7935488"/>
        <c:axId val="957927808"/>
      </c:barChart>
      <c:catAx>
        <c:axId val="957935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957927808"/>
        <c:crosses val="autoZero"/>
        <c:auto val="1"/>
        <c:lblAlgn val="ctr"/>
        <c:lblOffset val="100"/>
        <c:noMultiLvlLbl val="0"/>
      </c:catAx>
      <c:valAx>
        <c:axId val="95792780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957935488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Total</a:t>
            </a:r>
            <a:r>
              <a:rPr lang="sv-SE" baseline="0"/>
              <a:t> amount of plastic and cost pre- and post-actions, in percent</a:t>
            </a:r>
            <a:endParaRPr lang="sv-S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reduction visuals'!$D$36</c:f>
              <c:strCache>
                <c:ptCount val="1"/>
                <c:pt idx="0">
                  <c:v>Pre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'Total reduction visuals'!$C$37:$C$38</c:f>
              <c:strCache>
                <c:ptCount val="2"/>
                <c:pt idx="0">
                  <c:v>Total Plastics</c:v>
                </c:pt>
                <c:pt idx="1">
                  <c:v>Total Costs </c:v>
                </c:pt>
              </c:strCache>
            </c:strRef>
          </c:cat>
          <c:val>
            <c:numRef>
              <c:f>'Total reduction visuals'!$D$37:$D$38</c:f>
              <c:numCache>
                <c:formatCode>0%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A6-4A18-9740-174BE94AC940}"/>
            </c:ext>
          </c:extLst>
        </c:ser>
        <c:ser>
          <c:idx val="1"/>
          <c:order val="1"/>
          <c:tx>
            <c:strRef>
              <c:f>'Total reduction visuals'!$E$36</c:f>
              <c:strCache>
                <c:ptCount val="1"/>
                <c:pt idx="0">
                  <c:v>Post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'Total reduction visuals'!$C$37:$C$38</c:f>
              <c:strCache>
                <c:ptCount val="2"/>
                <c:pt idx="0">
                  <c:v>Total Plastics</c:v>
                </c:pt>
                <c:pt idx="1">
                  <c:v>Total Costs </c:v>
                </c:pt>
              </c:strCache>
            </c:strRef>
          </c:cat>
          <c:val>
            <c:numRef>
              <c:f>'Total reduction visuals'!$E$37:$E$38</c:f>
              <c:numCache>
                <c:formatCode>0.0%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A6-4A18-9740-174BE94AC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3534448"/>
        <c:axId val="1543533488"/>
      </c:barChart>
      <c:catAx>
        <c:axId val="154353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543533488"/>
        <c:crosses val="autoZero"/>
        <c:auto val="1"/>
        <c:lblAlgn val="ctr"/>
        <c:lblOffset val="100"/>
        <c:noMultiLvlLbl val="0"/>
      </c:catAx>
      <c:valAx>
        <c:axId val="154353348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543534448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 sz="1600"/>
              <a:t>Total</a:t>
            </a:r>
            <a:r>
              <a:rPr lang="sv-SE" sz="1600" baseline="0"/>
              <a:t> Plastics, Costs and CO2 pre- and post-actions</a:t>
            </a:r>
            <a:endParaRPr lang="sv-SE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reduction visuals'!$D$36</c:f>
              <c:strCache>
                <c:ptCount val="1"/>
                <c:pt idx="0">
                  <c:v>Pre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reduction visuals'!$C$37:$C$39</c:f>
              <c:strCache>
                <c:ptCount val="3"/>
                <c:pt idx="0">
                  <c:v>Total Plastics</c:v>
                </c:pt>
                <c:pt idx="1">
                  <c:v>Total Costs </c:v>
                </c:pt>
                <c:pt idx="2">
                  <c:v>Total CO2</c:v>
                </c:pt>
              </c:strCache>
            </c:strRef>
          </c:cat>
          <c:val>
            <c:numRef>
              <c:f>'Total reduction visuals'!$D$37:$D$39</c:f>
              <c:numCache>
                <c:formatCode>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BF-41CF-950A-8394F2A17B8C}"/>
            </c:ext>
          </c:extLst>
        </c:ser>
        <c:ser>
          <c:idx val="1"/>
          <c:order val="1"/>
          <c:tx>
            <c:strRef>
              <c:f>'Total reduction visuals'!$E$36</c:f>
              <c:strCache>
                <c:ptCount val="1"/>
                <c:pt idx="0">
                  <c:v>Post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reduction visuals'!$C$37:$C$39</c:f>
              <c:strCache>
                <c:ptCount val="3"/>
                <c:pt idx="0">
                  <c:v>Total Plastics</c:v>
                </c:pt>
                <c:pt idx="1">
                  <c:v>Total Costs </c:v>
                </c:pt>
                <c:pt idx="2">
                  <c:v>Total CO2</c:v>
                </c:pt>
              </c:strCache>
            </c:strRef>
          </c:cat>
          <c:val>
            <c:numRef>
              <c:f>'Total reduction visuals'!$E$37:$E$39</c:f>
              <c:numCache>
                <c:formatCode>0.0%</c:formatCode>
                <c:ptCount val="3"/>
                <c:pt idx="0">
                  <c:v>1</c:v>
                </c:pt>
                <c:pt idx="1">
                  <c:v>1</c:v>
                </c:pt>
                <c:pt idx="2" formatCode="0%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BF-41CF-950A-8394F2A17B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41893551"/>
        <c:axId val="841891631"/>
      </c:barChart>
      <c:catAx>
        <c:axId val="841893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841891631"/>
        <c:crosses val="autoZero"/>
        <c:auto val="1"/>
        <c:lblAlgn val="ctr"/>
        <c:lblOffset val="100"/>
        <c:noMultiLvlLbl val="0"/>
      </c:catAx>
      <c:valAx>
        <c:axId val="841891631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841893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Reduction of plastic</a:t>
            </a:r>
            <a:r>
              <a:rPr lang="sv-SE" baseline="0"/>
              <a:t> in kg</a:t>
            </a:r>
            <a:endParaRPr lang="sv-S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'Plastic reduction '!$C$18</c:f>
              <c:strCache>
                <c:ptCount val="1"/>
                <c:pt idx="0">
                  <c:v>pre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'Plastic reduction '!$B$19:$B$26</c:f>
              <c:strCache>
                <c:ptCount val="8"/>
                <c:pt idx="0">
                  <c:v>50L</c:v>
                </c:pt>
                <c:pt idx="1">
                  <c:v>25L</c:v>
                </c:pt>
                <c:pt idx="2">
                  <c:v>12L</c:v>
                </c:pt>
                <c:pt idx="3">
                  <c:v>6L</c:v>
                </c:pt>
                <c:pt idx="4">
                  <c:v>3L</c:v>
                </c:pt>
                <c:pt idx="5">
                  <c:v>2L</c:v>
                </c:pt>
                <c:pt idx="6">
                  <c:v>0,5L</c:v>
                </c:pt>
                <c:pt idx="7">
                  <c:v>TOTAL</c:v>
                </c:pt>
              </c:strCache>
            </c:strRef>
          </c:cat>
          <c:val>
            <c:numRef>
              <c:f>'Plastic reduction '!$C$19:$C$26</c:f>
              <c:numCache>
                <c:formatCode>General</c:formatCode>
                <c:ptCount val="8"/>
                <c:pt idx="0">
                  <c:v>111781.72500000001</c:v>
                </c:pt>
                <c:pt idx="1">
                  <c:v>4783.25</c:v>
                </c:pt>
                <c:pt idx="2">
                  <c:v>0</c:v>
                </c:pt>
                <c:pt idx="3">
                  <c:v>33.164999999999999</c:v>
                </c:pt>
                <c:pt idx="4">
                  <c:v>211.20500000000001</c:v>
                </c:pt>
                <c:pt idx="5">
                  <c:v>344.74</c:v>
                </c:pt>
                <c:pt idx="6">
                  <c:v>0</c:v>
                </c:pt>
                <c:pt idx="7">
                  <c:v>117154.08500000001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C5-4496-BD28-3724EDC88C71}"/>
            </c:ext>
          </c:extLst>
        </c:ser>
        <c:ser>
          <c:idx val="1"/>
          <c:order val="1"/>
          <c:tx>
            <c:strRef>
              <c:f>'Plastic reduction '!$D$18</c:f>
              <c:strCache>
                <c:ptCount val="1"/>
                <c:pt idx="0">
                  <c:v>post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'Plastic reduction '!$B$19:$B$26</c:f>
              <c:strCache>
                <c:ptCount val="8"/>
                <c:pt idx="0">
                  <c:v>50L</c:v>
                </c:pt>
                <c:pt idx="1">
                  <c:v>25L</c:v>
                </c:pt>
                <c:pt idx="2">
                  <c:v>12L</c:v>
                </c:pt>
                <c:pt idx="3">
                  <c:v>6L</c:v>
                </c:pt>
                <c:pt idx="4">
                  <c:v>3L</c:v>
                </c:pt>
                <c:pt idx="5">
                  <c:v>2L</c:v>
                </c:pt>
                <c:pt idx="6">
                  <c:v>0,5L</c:v>
                </c:pt>
                <c:pt idx="7">
                  <c:v>TOTAL</c:v>
                </c:pt>
              </c:strCache>
            </c:strRef>
          </c:cat>
          <c:val>
            <c:numRef>
              <c:f>'Plastic reduction '!$D$19:$D$26</c:f>
              <c:numCache>
                <c:formatCode>0.0</c:formatCode>
                <c:ptCount val="8"/>
                <c:pt idx="0">
                  <c:v>111781.72500000001</c:v>
                </c:pt>
                <c:pt idx="1">
                  <c:v>4783.25</c:v>
                </c:pt>
                <c:pt idx="2">
                  <c:v>0</c:v>
                </c:pt>
                <c:pt idx="3" formatCode="General">
                  <c:v>33.164999999999999</c:v>
                </c:pt>
                <c:pt idx="4" formatCode="General">
                  <c:v>211.20500000000001</c:v>
                </c:pt>
                <c:pt idx="5">
                  <c:v>344.74</c:v>
                </c:pt>
                <c:pt idx="6" formatCode="General">
                  <c:v>0</c:v>
                </c:pt>
                <c:pt idx="7">
                  <c:v>117154.08500000001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C5-4496-BD28-3724EDC88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5900064"/>
        <c:axId val="1425900544"/>
      </c:barChart>
      <c:catAx>
        <c:axId val="142590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425900544"/>
        <c:crosses val="autoZero"/>
        <c:auto val="1"/>
        <c:lblAlgn val="ctr"/>
        <c:lblOffset val="100"/>
        <c:noMultiLvlLbl val="0"/>
      </c:catAx>
      <c:valAx>
        <c:axId val="142590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42590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794476142498894E-2"/>
          <c:y val="2.7804329336881671E-2"/>
          <c:w val="0.87613570904471438"/>
          <c:h val="0.8979118329466356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'Cost difference'!$B$26:$B$33</c:f>
              <c:strCache>
                <c:ptCount val="8"/>
                <c:pt idx="0">
                  <c:v>50L</c:v>
                </c:pt>
                <c:pt idx="1">
                  <c:v>25L</c:v>
                </c:pt>
                <c:pt idx="2">
                  <c:v>12L</c:v>
                </c:pt>
                <c:pt idx="3">
                  <c:v>6L</c:v>
                </c:pt>
                <c:pt idx="4">
                  <c:v>3L</c:v>
                </c:pt>
                <c:pt idx="5">
                  <c:v>2L</c:v>
                </c:pt>
                <c:pt idx="6">
                  <c:v>0,5L</c:v>
                </c:pt>
                <c:pt idx="7">
                  <c:v>TOTAL</c:v>
                </c:pt>
              </c:strCache>
            </c:strRef>
          </c:cat>
          <c:val>
            <c:numRef>
              <c:f>'Cost difference'!$C$26:$C$33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39-42F7-A529-349C92E12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7879808"/>
        <c:axId val="957872128"/>
      </c:barChart>
      <c:catAx>
        <c:axId val="95787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957872128"/>
        <c:crosses val="autoZero"/>
        <c:auto val="1"/>
        <c:lblAlgn val="ctr"/>
        <c:lblOffset val="100"/>
        <c:noMultiLvlLbl val="0"/>
      </c:catAx>
      <c:valAx>
        <c:axId val="957872128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95787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'Spend vs. activity based visual'!$D$2:$D$3</c:f>
              <c:strCache>
                <c:ptCount val="2"/>
                <c:pt idx="0">
                  <c:v>[%]</c:v>
                </c:pt>
                <c:pt idx="1">
                  <c:v>Plastic reduction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'Spend vs. activity based visual'!$C$4:$C$11</c:f>
              <c:strCache>
                <c:ptCount val="8"/>
                <c:pt idx="0">
                  <c:v>50L</c:v>
                </c:pt>
                <c:pt idx="1">
                  <c:v>25L</c:v>
                </c:pt>
                <c:pt idx="2">
                  <c:v>12L</c:v>
                </c:pt>
                <c:pt idx="3">
                  <c:v>6L</c:v>
                </c:pt>
                <c:pt idx="4">
                  <c:v>3L</c:v>
                </c:pt>
                <c:pt idx="5">
                  <c:v>2L</c:v>
                </c:pt>
                <c:pt idx="6">
                  <c:v>0,5L</c:v>
                </c:pt>
                <c:pt idx="7">
                  <c:v>TOTAL</c:v>
                </c:pt>
              </c:strCache>
            </c:strRef>
          </c:cat>
          <c:val>
            <c:numRef>
              <c:f>'Spend vs. activity based visual'!$D$4:$D$11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38-4CC1-84B6-ED2CDA56BD56}"/>
            </c:ext>
          </c:extLst>
        </c:ser>
        <c:ser>
          <c:idx val="1"/>
          <c:order val="1"/>
          <c:tx>
            <c:strRef>
              <c:f>'Spend vs. activity based visual'!$E$2:$E$3</c:f>
              <c:strCache>
                <c:ptCount val="2"/>
                <c:pt idx="0">
                  <c:v>[%]</c:v>
                </c:pt>
                <c:pt idx="1">
                  <c:v>Cost increase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'Spend vs. activity based visual'!$C$4:$C$11</c:f>
              <c:strCache>
                <c:ptCount val="8"/>
                <c:pt idx="0">
                  <c:v>50L</c:v>
                </c:pt>
                <c:pt idx="1">
                  <c:v>25L</c:v>
                </c:pt>
                <c:pt idx="2">
                  <c:v>12L</c:v>
                </c:pt>
                <c:pt idx="3">
                  <c:v>6L</c:v>
                </c:pt>
                <c:pt idx="4">
                  <c:v>3L</c:v>
                </c:pt>
                <c:pt idx="5">
                  <c:v>2L</c:v>
                </c:pt>
                <c:pt idx="6">
                  <c:v>0,5L</c:v>
                </c:pt>
                <c:pt idx="7">
                  <c:v>TOTAL</c:v>
                </c:pt>
              </c:strCache>
            </c:strRef>
          </c:cat>
          <c:val>
            <c:numRef>
              <c:f>'Spend vs. activity based visual'!$E$4:$E$11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38-4CC1-84B6-ED2CDA56B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7935488"/>
        <c:axId val="957927808"/>
      </c:barChart>
      <c:catAx>
        <c:axId val="957935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957927808"/>
        <c:crosses val="autoZero"/>
        <c:auto val="1"/>
        <c:lblAlgn val="ctr"/>
        <c:lblOffset val="100"/>
        <c:noMultiLvlLbl val="0"/>
      </c:catAx>
      <c:valAx>
        <c:axId val="95792780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957935488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Savings from</a:t>
            </a:r>
            <a:r>
              <a:rPr lang="sv-SE" baseline="0"/>
              <a:t> optimization </a:t>
            </a:r>
            <a:endParaRPr lang="sv-S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>
        <c:manualLayout>
          <c:layoutTarget val="inner"/>
          <c:xMode val="edge"/>
          <c:yMode val="edge"/>
          <c:x val="7.8372703412073488E-2"/>
          <c:y val="0.15782407407407409"/>
          <c:w val="0.8966272965879265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Optimization!$D$11:$D$12</c:f>
              <c:strCache>
                <c:ptCount val="2"/>
                <c:pt idx="0">
                  <c:v>Plastic savings</c:v>
                </c:pt>
                <c:pt idx="1">
                  <c:v>Cost savings</c:v>
                </c:pt>
              </c:strCache>
            </c:strRef>
          </c:cat>
          <c:val>
            <c:numRef>
              <c:f>Optimization!$E$11:$E$12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26-4CE8-854A-D1EFCC44D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4359296"/>
        <c:axId val="954358336"/>
      </c:barChart>
      <c:catAx>
        <c:axId val="95435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954358336"/>
        <c:crosses val="autoZero"/>
        <c:auto val="1"/>
        <c:lblAlgn val="ctr"/>
        <c:lblOffset val="100"/>
        <c:noMultiLvlLbl val="0"/>
      </c:catAx>
      <c:valAx>
        <c:axId val="954358336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95435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  <cx:data id="1">
      <cx:strDim type="cat">
        <cx:f>_xlchart.v2.0</cx:f>
      </cx:strDim>
      <cx:numDim type="val">
        <cx:f>_xlchart.v2.4</cx:f>
      </cx:numDim>
    </cx:data>
  </cx:chartData>
  <cx:chart>
    <cx:title pos="t" align="ctr" overlay="0">
      <cx:tx>
        <cx:txData>
          <cx:v>Percentage of Plastic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sv-SE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Percentage of Plastic </a:t>
          </a:r>
        </a:p>
      </cx:txPr>
    </cx:title>
    <cx:plotArea>
      <cx:plotAreaRegion>
        <cx:series layoutId="funnel" uniqueId="{D03C73BE-1361-452C-B123-B95775C7F2D6}" formatIdx="0">
          <cx:tx>
            <cx:txData>
              <cx:f>_xlchart.v2.1</cx:f>
              <cx:v>Plastic 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150" baseline="0">
                    <a:solidFill>
                      <a:schemeClr val="bg1"/>
                    </a:solidFill>
                  </a:defRPr>
                </a:pPr>
                <a:endParaRPr lang="sv-SE" sz="1150" b="0" i="0" u="none" strike="noStrike" baseline="0">
                  <a:solidFill>
                    <a:schemeClr val="bg1"/>
                  </a:solidFill>
                  <a:latin typeface="Aptos Narrow" panose="02110004020202020204"/>
                </a:endParaRPr>
              </a:p>
            </cx:txPr>
            <cx:visibility seriesName="0" categoryName="0" value="1"/>
          </cx:dataLabels>
          <cx:dataId val="0"/>
        </cx:series>
        <cx:series layoutId="funnel" hidden="1" uniqueId="{A30C0DD1-811A-47C4-9E07-9AD580B2413D}" formatIdx="1">
          <cx:tx>
            <cx:txData>
              <cx:f>_xlchart.v2.3</cx:f>
              <cx:v>Cost </cx:v>
            </cx:txData>
          </cx:tx>
          <cx:dataLabels>
            <cx:visibility seriesName="0" categoryName="0" value="1"/>
          </cx:dataLabels>
          <cx:dataId val="1"/>
        </cx:series>
      </cx:plotAreaRegion>
      <cx:axis id="0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_xlchart.v2.5</cx:f>
      </cx:strDim>
      <cx:numDim type="val">
        <cx:f>_xlchart.v2.7</cx:f>
      </cx:numDim>
    </cx:data>
    <cx:data id="1">
      <cx:strDim type="cat">
        <cx:f>_xlchart.v2.5</cx:f>
      </cx:strDim>
      <cx:numDim type="val">
        <cx:f>_xlchart.v2.9</cx:f>
      </cx:numDim>
    </cx:data>
  </cx:chartData>
  <cx:chart>
    <cx:title pos="t" align="ctr" overlay="0">
      <cx:tx>
        <cx:txData>
          <cx:v>Percentage of Plastic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sv-SE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Percentage of Plastic </a:t>
          </a:r>
        </a:p>
      </cx:txPr>
    </cx:title>
    <cx:plotArea>
      <cx:plotAreaRegion>
        <cx:series layoutId="funnel" uniqueId="{D03C73BE-1361-452C-B123-B95775C7F2D6}" formatIdx="0">
          <cx:tx>
            <cx:txData>
              <cx:f>_xlchart.v2.6</cx:f>
              <cx:v>Plastic 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</cx:series>
        <cx:series layoutId="funnel" hidden="1" uniqueId="{A30C0DD1-811A-47C4-9E07-9AD580B2413D}" formatIdx="1">
          <cx:tx>
            <cx:txData>
              <cx:f>_xlchart.v2.8</cx:f>
              <cx:v>Cost </cx:v>
            </cx:txData>
          </cx:tx>
          <cx:dataLabels>
            <cx:visibility seriesName="0" categoryName="0" value="1"/>
          </cx:dataLabels>
          <cx:dataId val="1"/>
        </cx:series>
      </cx:plotAreaRegion>
      <cx:axis id="0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image" Target="../media/image2.sv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microsoft.com/office/2014/relationships/chartEx" Target="../charts/chartEx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273050</xdr:colOff>
      <xdr:row>6</xdr:row>
      <xdr:rowOff>114300</xdr:rowOff>
    </xdr:from>
    <xdr:to>
      <xdr:col>10</xdr:col>
      <xdr:colOff>122030</xdr:colOff>
      <xdr:row>24</xdr:row>
      <xdr:rowOff>44450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Diagram 1">
              <a:extLst>
                <a:ext uri="{FF2B5EF4-FFF2-40B4-BE49-F238E27FC236}">
                  <a16:creationId xmlns:a16="http://schemas.microsoft.com/office/drawing/2014/main" id="{A53BC65A-46AF-43C1-9E03-42CA3CAF2E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2650" y="1714500"/>
              <a:ext cx="5506830" cy="3359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v-S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542925</xdr:colOff>
      <xdr:row>36</xdr:row>
      <xdr:rowOff>57150</xdr:rowOff>
    </xdr:from>
    <xdr:to>
      <xdr:col>20</xdr:col>
      <xdr:colOff>95250</xdr:colOff>
      <xdr:row>57</xdr:row>
      <xdr:rowOff>125414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A0C3704-BBEB-4912-87BB-7AF495C7A2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28893</xdr:colOff>
      <xdr:row>5</xdr:row>
      <xdr:rowOff>124919</xdr:rowOff>
    </xdr:from>
    <xdr:to>
      <xdr:col>37</xdr:col>
      <xdr:colOff>560294</xdr:colOff>
      <xdr:row>33</xdr:row>
      <xdr:rowOff>93384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DCED1B29-2E14-445C-B3F1-0AC8726B7F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124081</xdr:colOff>
      <xdr:row>3</xdr:row>
      <xdr:rowOff>29195</xdr:rowOff>
    </xdr:from>
    <xdr:to>
      <xdr:col>16</xdr:col>
      <xdr:colOff>109483</xdr:colOff>
      <xdr:row>26</xdr:row>
      <xdr:rowOff>21896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88732893-C9F0-4361-8358-2EDD218BC9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488828</xdr:colOff>
      <xdr:row>2</xdr:row>
      <xdr:rowOff>39077</xdr:rowOff>
    </xdr:from>
    <xdr:to>
      <xdr:col>17</xdr:col>
      <xdr:colOff>229887</xdr:colOff>
      <xdr:row>19</xdr:row>
      <xdr:rowOff>165865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F5875C3A-2437-4DCD-8BBA-334FC97789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320192</xdr:colOff>
      <xdr:row>20</xdr:row>
      <xdr:rowOff>171014</xdr:rowOff>
    </xdr:from>
    <xdr:to>
      <xdr:col>17</xdr:col>
      <xdr:colOff>449385</xdr:colOff>
      <xdr:row>37</xdr:row>
      <xdr:rowOff>187279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B6643E6B-AE38-40FC-A632-12C79EC288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134554</xdr:colOff>
      <xdr:row>24</xdr:row>
      <xdr:rowOff>13467</xdr:rowOff>
    </xdr:from>
    <xdr:to>
      <xdr:col>6</xdr:col>
      <xdr:colOff>306550</xdr:colOff>
      <xdr:row>32</xdr:row>
      <xdr:rowOff>210535</xdr:rowOff>
    </xdr:to>
    <xdr:pic>
      <xdr:nvPicPr>
        <xdr:cNvPr id="6" name="Bild 5" descr="Planta kontur">
          <a:extLst>
            <a:ext uri="{FF2B5EF4-FFF2-40B4-BE49-F238E27FC236}">
              <a16:creationId xmlns:a16="http://schemas.microsoft.com/office/drawing/2014/main" id="{86FCF055-DF3D-7512-86DC-C5E0424B8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386020" y="5312433"/>
          <a:ext cx="1781393" cy="178774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434975</xdr:colOff>
      <xdr:row>11</xdr:row>
      <xdr:rowOff>131762</xdr:rowOff>
    </xdr:from>
    <xdr:to>
      <xdr:col>7</xdr:col>
      <xdr:colOff>254000</xdr:colOff>
      <xdr:row>26</xdr:row>
      <xdr:rowOff>160337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Diagram 1">
              <a:extLst>
                <a:ext uri="{FF2B5EF4-FFF2-40B4-BE49-F238E27FC236}">
                  <a16:creationId xmlns:a16="http://schemas.microsoft.com/office/drawing/2014/main" id="{C524A7B4-F7D3-5820-A1D8-E96EDA407D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4575" y="2227262"/>
              <a:ext cx="4467225" cy="2886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v-S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247649</xdr:colOff>
      <xdr:row>33</xdr:row>
      <xdr:rowOff>134937</xdr:rowOff>
    </xdr:from>
    <xdr:to>
      <xdr:col>16</xdr:col>
      <xdr:colOff>85724</xdr:colOff>
      <xdr:row>55</xdr:row>
      <xdr:rowOff>19051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7127D40A-C7D8-7B90-D28B-A098566D98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466725</xdr:colOff>
      <xdr:row>35</xdr:row>
      <xdr:rowOff>46036</xdr:rowOff>
    </xdr:from>
    <xdr:to>
      <xdr:col>25</xdr:col>
      <xdr:colOff>504824</xdr:colOff>
      <xdr:row>59</xdr:row>
      <xdr:rowOff>152399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448C8CED-F4F3-E25C-B78E-8586A39B0B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266700</xdr:colOff>
      <xdr:row>14</xdr:row>
      <xdr:rowOff>173037</xdr:rowOff>
    </xdr:from>
    <xdr:to>
      <xdr:col>15</xdr:col>
      <xdr:colOff>209550</xdr:colOff>
      <xdr:row>29</xdr:row>
      <xdr:rowOff>11112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0DB57A98-8BB3-15D5-B5BF-28C535F327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392112</xdr:colOff>
      <xdr:row>18</xdr:row>
      <xdr:rowOff>179387</xdr:rowOff>
    </xdr:from>
    <xdr:to>
      <xdr:col>10</xdr:col>
      <xdr:colOff>1436687</xdr:colOff>
      <xdr:row>34</xdr:row>
      <xdr:rowOff>20637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3690119D-A7CB-216B-F605-B8948920D7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15875</xdr:colOff>
      <xdr:row>3</xdr:row>
      <xdr:rowOff>141287</xdr:rowOff>
    </xdr:from>
    <xdr:to>
      <xdr:col>13</xdr:col>
      <xdr:colOff>320675</xdr:colOff>
      <xdr:row>18</xdr:row>
      <xdr:rowOff>169862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436DA944-0715-7DC3-8F9A-AC9D45035F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161925</xdr:colOff>
      <xdr:row>2</xdr:row>
      <xdr:rowOff>114300</xdr:rowOff>
    </xdr:from>
    <xdr:to>
      <xdr:col>13</xdr:col>
      <xdr:colOff>466725</xdr:colOff>
      <xdr:row>17</xdr:row>
      <xdr:rowOff>95250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CBED83F5-9FBF-D5AB-BB3B-BBC6CC4357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28896-C65D-4B8B-8A1A-9309187E7372}">
  <sheetPr>
    <tabColor theme="6"/>
  </sheetPr>
  <dimension ref="A1:FL87"/>
  <sheetViews>
    <sheetView zoomScale="73" workbookViewId="0">
      <selection activeCell="H67" sqref="H67"/>
    </sheetView>
  </sheetViews>
  <sheetFormatPr defaultRowHeight="15" x14ac:dyDescent="0.25"/>
  <cols>
    <col min="5" max="5" width="9.5703125" customWidth="1"/>
    <col min="6" max="6" width="11" customWidth="1"/>
    <col min="7" max="7" width="9.42578125" bestFit="1" customWidth="1"/>
  </cols>
  <sheetData>
    <row r="1" spans="1:168" s="87" customFormat="1" ht="51.6" customHeight="1" x14ac:dyDescent="1">
      <c r="A1" s="123" t="s">
        <v>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</row>
    <row r="2" spans="1:168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63"/>
      <c r="BL2" s="63"/>
      <c r="BM2" s="63"/>
      <c r="BN2" s="63"/>
      <c r="BO2" s="63"/>
      <c r="BP2" s="63"/>
      <c r="BQ2" s="63"/>
      <c r="BR2" s="63"/>
      <c r="BS2" s="63"/>
      <c r="BT2" s="63"/>
      <c r="BU2" s="63"/>
      <c r="BV2" s="63"/>
      <c r="BW2" s="63"/>
      <c r="BX2" s="63"/>
      <c r="BY2" s="63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63"/>
      <c r="CQ2" s="63"/>
      <c r="CR2" s="63"/>
      <c r="CS2" s="63"/>
      <c r="CT2" s="63"/>
      <c r="CU2" s="63"/>
      <c r="CV2" s="63"/>
      <c r="CW2" s="63"/>
      <c r="CX2" s="63"/>
      <c r="CY2" s="63"/>
      <c r="CZ2" s="63"/>
      <c r="DA2" s="63"/>
      <c r="DB2" s="63"/>
      <c r="DC2" s="63"/>
      <c r="DD2" s="63"/>
      <c r="DE2" s="63"/>
      <c r="DF2" s="63"/>
      <c r="DG2" s="63"/>
      <c r="DH2" s="63"/>
      <c r="DI2" s="63"/>
      <c r="DJ2" s="63"/>
      <c r="DK2" s="63"/>
      <c r="DL2" s="63"/>
      <c r="DM2" s="63"/>
      <c r="DN2" s="63"/>
      <c r="DO2" s="63"/>
      <c r="DP2" s="63"/>
      <c r="DQ2" s="63"/>
      <c r="DR2" s="63"/>
      <c r="DS2" s="63"/>
      <c r="DT2" s="63"/>
      <c r="DU2" s="63"/>
      <c r="DV2" s="63"/>
      <c r="DW2" s="63"/>
      <c r="DX2" s="63"/>
      <c r="DY2" s="63"/>
      <c r="DZ2" s="63"/>
      <c r="EA2" s="63"/>
      <c r="EB2" s="63"/>
      <c r="EC2" s="63"/>
      <c r="ED2" s="63"/>
      <c r="EE2" s="63"/>
      <c r="EF2" s="63"/>
      <c r="EG2" s="63"/>
      <c r="EH2" s="63"/>
      <c r="EI2" s="63"/>
      <c r="EJ2" s="63"/>
      <c r="EK2" s="63"/>
      <c r="EL2" s="63"/>
      <c r="EM2" s="63"/>
      <c r="EN2" s="63"/>
      <c r="EO2" s="63"/>
      <c r="EP2" s="63"/>
      <c r="EQ2" s="63"/>
      <c r="ER2" s="63"/>
      <c r="ES2" s="63"/>
      <c r="ET2" s="63"/>
      <c r="EU2" s="63"/>
      <c r="EV2" s="63"/>
      <c r="EW2" s="63"/>
      <c r="EX2" s="63"/>
      <c r="EY2" s="63"/>
      <c r="EZ2" s="63"/>
      <c r="FA2" s="63"/>
      <c r="FB2" s="63"/>
      <c r="FC2" s="63"/>
      <c r="FD2" s="63"/>
      <c r="FE2" s="63"/>
      <c r="FF2" s="63"/>
      <c r="FG2" s="63"/>
      <c r="FH2" s="63"/>
      <c r="FI2" s="63"/>
      <c r="FJ2" s="63"/>
      <c r="FK2" s="63"/>
      <c r="FL2" s="63"/>
    </row>
    <row r="3" spans="1:168" x14ac:dyDescent="0.25">
      <c r="A3" s="63"/>
      <c r="B3" s="124" t="s">
        <v>1</v>
      </c>
      <c r="C3" s="125"/>
      <c r="D3" s="125"/>
      <c r="E3" s="126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3"/>
      <c r="BK3" s="63"/>
      <c r="BL3" s="63"/>
      <c r="BM3" s="63"/>
      <c r="BN3" s="63"/>
      <c r="BO3" s="63"/>
      <c r="BP3" s="63"/>
      <c r="BQ3" s="63"/>
      <c r="BR3" s="63"/>
      <c r="BS3" s="63"/>
      <c r="BT3" s="63"/>
      <c r="BU3" s="63"/>
      <c r="BV3" s="63"/>
      <c r="BW3" s="63"/>
      <c r="BX3" s="63"/>
      <c r="BY3" s="63"/>
      <c r="BZ3" s="63"/>
      <c r="CA3" s="63"/>
      <c r="CB3" s="63"/>
      <c r="CC3" s="63"/>
      <c r="CD3" s="63"/>
      <c r="CE3" s="63"/>
      <c r="CF3" s="63"/>
      <c r="CG3" s="63"/>
      <c r="CH3" s="63"/>
      <c r="CI3" s="63"/>
      <c r="CJ3" s="63"/>
      <c r="CK3" s="63"/>
      <c r="CL3" s="63"/>
      <c r="CM3" s="63"/>
      <c r="CN3" s="63"/>
      <c r="CO3" s="63"/>
      <c r="CP3" s="63"/>
      <c r="CQ3" s="63"/>
      <c r="CR3" s="63"/>
      <c r="CS3" s="63"/>
      <c r="CT3" s="63"/>
      <c r="CU3" s="63"/>
      <c r="CV3" s="63"/>
      <c r="CW3" s="63"/>
      <c r="CX3" s="63"/>
      <c r="CY3" s="63"/>
      <c r="CZ3" s="63"/>
      <c r="DA3" s="63"/>
      <c r="DB3" s="63"/>
      <c r="DC3" s="63"/>
      <c r="DD3" s="63"/>
      <c r="DE3" s="63"/>
      <c r="DF3" s="63"/>
      <c r="DG3" s="63"/>
      <c r="DH3" s="63"/>
      <c r="DI3" s="63"/>
      <c r="DJ3" s="63"/>
      <c r="DK3" s="63"/>
      <c r="DL3" s="63"/>
      <c r="DM3" s="63"/>
      <c r="DN3" s="63"/>
      <c r="DO3" s="63"/>
      <c r="DP3" s="63"/>
      <c r="DQ3" s="63"/>
      <c r="DR3" s="63"/>
      <c r="DS3" s="63"/>
      <c r="DT3" s="63"/>
      <c r="DU3" s="63"/>
      <c r="DV3" s="63"/>
      <c r="DW3" s="63"/>
      <c r="DX3" s="63"/>
      <c r="DY3" s="63"/>
      <c r="DZ3" s="63"/>
      <c r="EA3" s="63"/>
      <c r="EB3" s="63"/>
      <c r="EC3" s="63"/>
      <c r="ED3" s="63"/>
      <c r="EE3" s="63"/>
      <c r="EF3" s="63"/>
      <c r="EG3" s="63"/>
      <c r="EH3" s="63"/>
      <c r="EI3" s="63"/>
      <c r="EJ3" s="63"/>
      <c r="EK3" s="63"/>
      <c r="EL3" s="63"/>
      <c r="EM3" s="63"/>
      <c r="EN3" s="63"/>
      <c r="EO3" s="63"/>
      <c r="EP3" s="63"/>
      <c r="EQ3" s="63"/>
      <c r="ER3" s="63"/>
      <c r="ES3" s="63"/>
      <c r="ET3" s="63"/>
      <c r="EU3" s="63"/>
      <c r="EV3" s="63"/>
      <c r="EW3" s="63"/>
      <c r="EX3" s="63"/>
      <c r="EY3" s="63"/>
      <c r="EZ3" s="63"/>
      <c r="FA3" s="63"/>
      <c r="FB3" s="63"/>
      <c r="FC3" s="63"/>
      <c r="FD3" s="63"/>
      <c r="FE3" s="63"/>
      <c r="FF3" s="63"/>
      <c r="FG3" s="63"/>
      <c r="FH3" s="63"/>
      <c r="FI3" s="63"/>
      <c r="FJ3" s="63"/>
      <c r="FK3" s="63"/>
      <c r="FL3" s="63"/>
    </row>
    <row r="4" spans="1:168" x14ac:dyDescent="0.25">
      <c r="A4" s="63"/>
      <c r="B4" s="127"/>
      <c r="C4" s="128"/>
      <c r="D4" s="128"/>
      <c r="E4" s="129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63"/>
      <c r="BW4" s="63"/>
      <c r="BX4" s="63"/>
      <c r="BY4" s="63"/>
      <c r="BZ4" s="63"/>
      <c r="CA4" s="63"/>
      <c r="CB4" s="63"/>
      <c r="CC4" s="63"/>
      <c r="CD4" s="63"/>
      <c r="CE4" s="63"/>
      <c r="CF4" s="63"/>
      <c r="CG4" s="63"/>
      <c r="CH4" s="63"/>
      <c r="CI4" s="63"/>
      <c r="CJ4" s="63"/>
      <c r="CK4" s="63"/>
      <c r="CL4" s="63"/>
      <c r="CM4" s="63"/>
      <c r="CN4" s="63"/>
      <c r="CO4" s="63"/>
      <c r="CP4" s="63"/>
      <c r="CQ4" s="63"/>
      <c r="CR4" s="63"/>
      <c r="CS4" s="63"/>
      <c r="CT4" s="63"/>
      <c r="CU4" s="63"/>
      <c r="CV4" s="63"/>
      <c r="CW4" s="63"/>
      <c r="CX4" s="63"/>
      <c r="CY4" s="63"/>
      <c r="CZ4" s="63"/>
      <c r="DA4" s="63"/>
      <c r="DB4" s="63"/>
      <c r="DC4" s="63"/>
      <c r="DD4" s="63"/>
      <c r="DE4" s="63"/>
      <c r="DF4" s="63"/>
      <c r="DG4" s="63"/>
      <c r="DH4" s="63"/>
      <c r="DI4" s="63"/>
      <c r="DJ4" s="63"/>
      <c r="DK4" s="63"/>
      <c r="DL4" s="63"/>
      <c r="DM4" s="63"/>
      <c r="DN4" s="63"/>
      <c r="DO4" s="63"/>
      <c r="DP4" s="63"/>
      <c r="DQ4" s="63"/>
      <c r="DR4" s="63"/>
      <c r="DS4" s="63"/>
      <c r="DT4" s="63"/>
      <c r="DU4" s="63"/>
      <c r="DV4" s="63"/>
      <c r="DW4" s="63"/>
      <c r="DX4" s="63"/>
      <c r="DY4" s="63"/>
      <c r="DZ4" s="63"/>
      <c r="EA4" s="63"/>
      <c r="EB4" s="63"/>
      <c r="EC4" s="63"/>
      <c r="ED4" s="63"/>
      <c r="EE4" s="63"/>
      <c r="EF4" s="63"/>
      <c r="EG4" s="63"/>
      <c r="EH4" s="63"/>
      <c r="EI4" s="63"/>
      <c r="EJ4" s="63"/>
      <c r="EK4" s="63"/>
      <c r="EL4" s="63"/>
      <c r="EM4" s="63"/>
      <c r="EN4" s="63"/>
      <c r="EO4" s="63"/>
      <c r="EP4" s="63"/>
      <c r="EQ4" s="63"/>
      <c r="ER4" s="63"/>
      <c r="ES4" s="63"/>
      <c r="ET4" s="63"/>
      <c r="EU4" s="63"/>
      <c r="EV4" s="63"/>
      <c r="EW4" s="63"/>
      <c r="EX4" s="63"/>
      <c r="EY4" s="63"/>
      <c r="EZ4" s="63"/>
      <c r="FA4" s="63"/>
      <c r="FB4" s="63"/>
      <c r="FC4" s="63"/>
      <c r="FD4" s="63"/>
      <c r="FE4" s="63"/>
      <c r="FF4" s="63"/>
      <c r="FG4" s="63"/>
      <c r="FH4" s="63"/>
      <c r="FI4" s="63"/>
      <c r="FJ4" s="63"/>
      <c r="FK4" s="63"/>
      <c r="FL4" s="63"/>
    </row>
    <row r="5" spans="1:168" x14ac:dyDescent="0.25">
      <c r="A5" s="63"/>
      <c r="B5" s="130"/>
      <c r="C5" s="131"/>
      <c r="D5" s="131"/>
      <c r="E5" s="132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3"/>
      <c r="BF5" s="63"/>
      <c r="BG5" s="63"/>
      <c r="BH5" s="63"/>
      <c r="BI5" s="63"/>
      <c r="BJ5" s="63"/>
      <c r="BK5" s="63"/>
      <c r="BL5" s="63"/>
      <c r="BM5" s="63"/>
      <c r="BN5" s="63"/>
      <c r="BO5" s="63"/>
      <c r="BP5" s="63"/>
      <c r="BQ5" s="63"/>
      <c r="BR5" s="63"/>
      <c r="BS5" s="63"/>
      <c r="BT5" s="63"/>
      <c r="BU5" s="63"/>
      <c r="BV5" s="63"/>
      <c r="BW5" s="63"/>
      <c r="BX5" s="63"/>
      <c r="BY5" s="63"/>
      <c r="BZ5" s="63"/>
      <c r="CA5" s="63"/>
      <c r="CB5" s="63"/>
      <c r="CC5" s="63"/>
      <c r="CD5" s="63"/>
      <c r="CE5" s="63"/>
      <c r="CF5" s="63"/>
      <c r="CG5" s="63"/>
      <c r="CH5" s="63"/>
      <c r="CI5" s="63"/>
      <c r="CJ5" s="63"/>
      <c r="CK5" s="63"/>
      <c r="CL5" s="63"/>
      <c r="CM5" s="63"/>
      <c r="CN5" s="63"/>
      <c r="CO5" s="63"/>
      <c r="CP5" s="63"/>
      <c r="CQ5" s="63"/>
      <c r="CR5" s="63"/>
      <c r="CS5" s="63"/>
      <c r="CT5" s="63"/>
      <c r="CU5" s="63"/>
      <c r="CV5" s="63"/>
      <c r="CW5" s="63"/>
      <c r="CX5" s="63"/>
      <c r="CY5" s="63"/>
      <c r="CZ5" s="63"/>
      <c r="DA5" s="63"/>
      <c r="DB5" s="63"/>
      <c r="DC5" s="63"/>
      <c r="DD5" s="63"/>
      <c r="DE5" s="63"/>
      <c r="DF5" s="63"/>
      <c r="DG5" s="63"/>
      <c r="DH5" s="63"/>
      <c r="DI5" s="63"/>
      <c r="DJ5" s="63"/>
      <c r="DK5" s="63"/>
      <c r="DL5" s="63"/>
      <c r="DM5" s="63"/>
      <c r="DN5" s="63"/>
      <c r="DO5" s="63"/>
      <c r="DP5" s="63"/>
      <c r="DQ5" s="63"/>
      <c r="DR5" s="63"/>
      <c r="DS5" s="63"/>
      <c r="DT5" s="63"/>
      <c r="DU5" s="63"/>
      <c r="DV5" s="63"/>
      <c r="DW5" s="63"/>
      <c r="DX5" s="63"/>
      <c r="DY5" s="63"/>
      <c r="DZ5" s="63"/>
      <c r="EA5" s="63"/>
      <c r="EB5" s="63"/>
      <c r="EC5" s="63"/>
      <c r="ED5" s="63"/>
      <c r="EE5" s="63"/>
      <c r="EF5" s="63"/>
      <c r="EG5" s="63"/>
      <c r="EH5" s="63"/>
      <c r="EI5" s="63"/>
      <c r="EJ5" s="63"/>
      <c r="EK5" s="63"/>
      <c r="EL5" s="63"/>
      <c r="EM5" s="63"/>
      <c r="EN5" s="63"/>
      <c r="EO5" s="63"/>
      <c r="EP5" s="63"/>
      <c r="EQ5" s="63"/>
      <c r="ER5" s="63"/>
      <c r="ES5" s="63"/>
      <c r="ET5" s="63"/>
      <c r="EU5" s="63"/>
      <c r="EV5" s="63"/>
      <c r="EW5" s="63"/>
      <c r="EX5" s="63"/>
      <c r="EY5" s="63"/>
      <c r="EZ5" s="63"/>
      <c r="FA5" s="63"/>
      <c r="FB5" s="63"/>
      <c r="FC5" s="63"/>
      <c r="FD5" s="63"/>
      <c r="FE5" s="63"/>
      <c r="FF5" s="63"/>
      <c r="FG5" s="63"/>
      <c r="FH5" s="63"/>
      <c r="FI5" s="63"/>
      <c r="FJ5" s="63"/>
      <c r="FK5" s="63"/>
      <c r="FL5" s="63"/>
    </row>
    <row r="6" spans="1:168" x14ac:dyDescent="0.25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/>
      <c r="CG6" s="63"/>
      <c r="CH6" s="63"/>
      <c r="CI6" s="63"/>
      <c r="CJ6" s="63"/>
      <c r="CK6" s="63"/>
      <c r="CL6" s="63"/>
      <c r="CM6" s="63"/>
      <c r="CN6" s="63"/>
      <c r="CO6" s="63"/>
      <c r="CP6" s="63"/>
      <c r="CQ6" s="63"/>
      <c r="CR6" s="63"/>
      <c r="CS6" s="63"/>
      <c r="CT6" s="63"/>
      <c r="CU6" s="63"/>
      <c r="CV6" s="63"/>
      <c r="CW6" s="63"/>
      <c r="CX6" s="63"/>
      <c r="CY6" s="63"/>
      <c r="CZ6" s="63"/>
      <c r="DA6" s="63"/>
      <c r="DB6" s="63"/>
      <c r="DC6" s="63"/>
      <c r="DD6" s="63"/>
      <c r="DE6" s="63"/>
      <c r="DF6" s="63"/>
      <c r="DG6" s="63"/>
      <c r="DH6" s="63"/>
      <c r="DI6" s="63"/>
      <c r="DJ6" s="63"/>
      <c r="DK6" s="63"/>
      <c r="DL6" s="63"/>
      <c r="DM6" s="63"/>
      <c r="DN6" s="63"/>
      <c r="DO6" s="63"/>
      <c r="DP6" s="63"/>
      <c r="DQ6" s="63"/>
      <c r="DR6" s="63"/>
      <c r="DS6" s="63"/>
      <c r="DT6" s="63"/>
      <c r="DU6" s="63"/>
      <c r="DV6" s="63"/>
      <c r="DW6" s="63"/>
      <c r="DX6" s="63"/>
      <c r="DY6" s="63"/>
      <c r="DZ6" s="63"/>
      <c r="EA6" s="63"/>
      <c r="EB6" s="63"/>
      <c r="EC6" s="63"/>
      <c r="ED6" s="63"/>
      <c r="EE6" s="63"/>
      <c r="EF6" s="63"/>
      <c r="EG6" s="63"/>
      <c r="EH6" s="63"/>
      <c r="EI6" s="63"/>
      <c r="EJ6" s="63"/>
      <c r="EK6" s="63"/>
      <c r="EL6" s="63"/>
      <c r="EM6" s="63"/>
      <c r="EN6" s="63"/>
      <c r="EO6" s="63"/>
      <c r="EP6" s="63"/>
      <c r="EQ6" s="63"/>
      <c r="ER6" s="63"/>
      <c r="ES6" s="63"/>
      <c r="ET6" s="63"/>
      <c r="EU6" s="63"/>
      <c r="EV6" s="63"/>
      <c r="EW6" s="63"/>
      <c r="EX6" s="63"/>
      <c r="EY6" s="63"/>
      <c r="EZ6" s="63"/>
      <c r="FA6" s="63"/>
      <c r="FB6" s="63"/>
      <c r="FC6" s="63"/>
      <c r="FD6" s="63"/>
      <c r="FE6" s="63"/>
      <c r="FF6" s="63"/>
      <c r="FG6" s="63"/>
      <c r="FH6" s="63"/>
      <c r="FI6" s="63"/>
      <c r="FJ6" s="63"/>
      <c r="FK6" s="63"/>
      <c r="FL6" s="63"/>
    </row>
    <row r="7" spans="1:168" x14ac:dyDescent="0.25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3"/>
      <c r="BL7" s="63"/>
      <c r="BM7" s="63"/>
      <c r="BN7" s="63"/>
      <c r="BO7" s="63"/>
      <c r="BP7" s="63"/>
      <c r="BQ7" s="63"/>
      <c r="BR7" s="63"/>
      <c r="BS7" s="63"/>
      <c r="BT7" s="63"/>
      <c r="BU7" s="63"/>
      <c r="BV7" s="63"/>
      <c r="BW7" s="63"/>
      <c r="BX7" s="63"/>
      <c r="BY7" s="63"/>
      <c r="BZ7" s="63"/>
      <c r="CA7" s="63"/>
      <c r="CB7" s="63"/>
      <c r="CC7" s="63"/>
      <c r="CD7" s="63"/>
      <c r="CE7" s="63"/>
      <c r="CF7" s="63"/>
      <c r="CG7" s="63"/>
      <c r="CH7" s="63"/>
      <c r="CI7" s="63"/>
      <c r="CJ7" s="63"/>
      <c r="CK7" s="63"/>
      <c r="CL7" s="63"/>
      <c r="CM7" s="63"/>
      <c r="CN7" s="63"/>
      <c r="CO7" s="63"/>
      <c r="CP7" s="63"/>
      <c r="CQ7" s="63"/>
      <c r="CR7" s="63"/>
      <c r="CS7" s="63"/>
      <c r="CT7" s="63"/>
      <c r="CU7" s="63"/>
      <c r="CV7" s="63"/>
      <c r="CW7" s="63"/>
      <c r="CX7" s="63"/>
      <c r="CY7" s="63"/>
      <c r="CZ7" s="63"/>
      <c r="DA7" s="63"/>
      <c r="DB7" s="63"/>
      <c r="DC7" s="63"/>
      <c r="DD7" s="63"/>
      <c r="DE7" s="63"/>
      <c r="DF7" s="63"/>
      <c r="DG7" s="63"/>
      <c r="DH7" s="63"/>
      <c r="DI7" s="63"/>
      <c r="DJ7" s="63"/>
      <c r="DK7" s="63"/>
      <c r="DL7" s="63"/>
      <c r="DM7" s="63"/>
      <c r="DN7" s="63"/>
      <c r="DO7" s="63"/>
      <c r="DP7" s="63"/>
      <c r="DQ7" s="63"/>
      <c r="DR7" s="63"/>
      <c r="DS7" s="63"/>
      <c r="DT7" s="63"/>
      <c r="DU7" s="63"/>
      <c r="DV7" s="63"/>
      <c r="DW7" s="63"/>
      <c r="DX7" s="63"/>
      <c r="DY7" s="63"/>
      <c r="DZ7" s="63"/>
      <c r="EA7" s="63"/>
      <c r="EB7" s="63"/>
      <c r="EC7" s="63"/>
      <c r="ED7" s="63"/>
      <c r="EE7" s="63"/>
      <c r="EF7" s="63"/>
      <c r="EG7" s="63"/>
      <c r="EH7" s="63"/>
      <c r="EI7" s="63"/>
      <c r="EJ7" s="63"/>
      <c r="EK7" s="63"/>
      <c r="EL7" s="63"/>
      <c r="EM7" s="63"/>
      <c r="EN7" s="63"/>
      <c r="EO7" s="63"/>
      <c r="EP7" s="63"/>
      <c r="EQ7" s="63"/>
      <c r="ER7" s="63"/>
      <c r="ES7" s="63"/>
      <c r="ET7" s="63"/>
      <c r="EU7" s="63"/>
      <c r="EV7" s="63"/>
      <c r="EW7" s="63"/>
      <c r="EX7" s="63"/>
      <c r="EY7" s="63"/>
      <c r="EZ7" s="63"/>
      <c r="FA7" s="63"/>
      <c r="FB7" s="63"/>
      <c r="FC7" s="63"/>
      <c r="FD7" s="63"/>
      <c r="FE7" s="63"/>
      <c r="FF7" s="63"/>
      <c r="FG7" s="63"/>
      <c r="FH7" s="63"/>
      <c r="FI7" s="63"/>
      <c r="FJ7" s="63"/>
      <c r="FK7" s="63"/>
      <c r="FL7" s="63"/>
    </row>
    <row r="8" spans="1:168" x14ac:dyDescent="0.25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3"/>
      <c r="BF8" s="63"/>
      <c r="BG8" s="63"/>
      <c r="BH8" s="63"/>
      <c r="BI8" s="63"/>
      <c r="BJ8" s="63"/>
      <c r="BK8" s="63"/>
      <c r="BL8" s="63"/>
      <c r="BM8" s="63"/>
      <c r="BN8" s="63"/>
      <c r="BO8" s="63"/>
      <c r="BP8" s="63"/>
      <c r="BQ8" s="63"/>
      <c r="BR8" s="63"/>
      <c r="BS8" s="63"/>
      <c r="BT8" s="63"/>
      <c r="BU8" s="63"/>
      <c r="BV8" s="63"/>
      <c r="BW8" s="63"/>
      <c r="BX8" s="63"/>
      <c r="BY8" s="63"/>
      <c r="BZ8" s="63"/>
      <c r="CA8" s="63"/>
      <c r="CB8" s="63"/>
      <c r="CC8" s="63"/>
      <c r="CD8" s="63"/>
      <c r="CE8" s="63"/>
      <c r="CF8" s="63"/>
      <c r="CG8" s="63"/>
      <c r="CH8" s="63"/>
      <c r="CI8" s="63"/>
      <c r="CJ8" s="63"/>
      <c r="CK8" s="63"/>
      <c r="CL8" s="63"/>
      <c r="CM8" s="63"/>
      <c r="CN8" s="63"/>
      <c r="CO8" s="63"/>
      <c r="CP8" s="63"/>
      <c r="CQ8" s="63"/>
      <c r="CR8" s="63"/>
      <c r="CS8" s="63"/>
      <c r="CT8" s="63"/>
      <c r="CU8" s="63"/>
      <c r="CV8" s="63"/>
      <c r="CW8" s="63"/>
      <c r="CX8" s="63"/>
      <c r="CY8" s="63"/>
      <c r="CZ8" s="63"/>
      <c r="DA8" s="63"/>
      <c r="DB8" s="63"/>
      <c r="DC8" s="63"/>
      <c r="DD8" s="63"/>
      <c r="DE8" s="63"/>
      <c r="DF8" s="63"/>
      <c r="DG8" s="63"/>
      <c r="DH8" s="63"/>
      <c r="DI8" s="63"/>
      <c r="DJ8" s="63"/>
      <c r="DK8" s="63"/>
      <c r="DL8" s="63"/>
      <c r="DM8" s="63"/>
      <c r="DN8" s="63"/>
      <c r="DO8" s="63"/>
      <c r="DP8" s="63"/>
      <c r="DQ8" s="63"/>
      <c r="DR8" s="63"/>
      <c r="DS8" s="63"/>
      <c r="DT8" s="63"/>
      <c r="DU8" s="63"/>
      <c r="DV8" s="63"/>
      <c r="DW8" s="63"/>
      <c r="DX8" s="63"/>
      <c r="DY8" s="63"/>
      <c r="DZ8" s="63"/>
      <c r="EA8" s="63"/>
      <c r="EB8" s="63"/>
      <c r="EC8" s="63"/>
      <c r="ED8" s="63"/>
      <c r="EE8" s="63"/>
      <c r="EF8" s="63"/>
      <c r="EG8" s="63"/>
      <c r="EH8" s="63"/>
      <c r="EI8" s="63"/>
      <c r="EJ8" s="63"/>
      <c r="EK8" s="63"/>
      <c r="EL8" s="63"/>
      <c r="EM8" s="63"/>
      <c r="EN8" s="63"/>
      <c r="EO8" s="63"/>
      <c r="EP8" s="63"/>
      <c r="EQ8" s="63"/>
      <c r="ER8" s="63"/>
      <c r="ES8" s="63"/>
      <c r="ET8" s="63"/>
      <c r="EU8" s="63"/>
      <c r="EV8" s="63"/>
      <c r="EW8" s="63"/>
      <c r="EX8" s="63"/>
      <c r="EY8" s="63"/>
      <c r="EZ8" s="63"/>
      <c r="FA8" s="63"/>
      <c r="FB8" s="63"/>
      <c r="FC8" s="63"/>
      <c r="FD8" s="63"/>
      <c r="FE8" s="63"/>
      <c r="FF8" s="63"/>
      <c r="FG8" s="63"/>
      <c r="FH8" s="63"/>
      <c r="FI8" s="63"/>
      <c r="FJ8" s="63"/>
      <c r="FK8" s="63"/>
      <c r="FL8" s="63"/>
    </row>
    <row r="9" spans="1:168" x14ac:dyDescent="0.25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3"/>
      <c r="BF9" s="63"/>
      <c r="BG9" s="63"/>
      <c r="BH9" s="63"/>
      <c r="BI9" s="63"/>
      <c r="BJ9" s="63"/>
      <c r="BK9" s="63"/>
      <c r="BL9" s="63"/>
      <c r="BM9" s="63"/>
      <c r="BN9" s="63"/>
      <c r="BO9" s="63"/>
      <c r="BP9" s="63"/>
      <c r="BQ9" s="63"/>
      <c r="BR9" s="63"/>
      <c r="BS9" s="63"/>
      <c r="BT9" s="63"/>
      <c r="BU9" s="63"/>
      <c r="BV9" s="63"/>
      <c r="BW9" s="63"/>
      <c r="BX9" s="63"/>
      <c r="BY9" s="63"/>
      <c r="BZ9" s="63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L9" s="63"/>
      <c r="CM9" s="63"/>
      <c r="CN9" s="63"/>
      <c r="CO9" s="63"/>
      <c r="CP9" s="63"/>
      <c r="CQ9" s="63"/>
      <c r="CR9" s="63"/>
      <c r="CS9" s="63"/>
      <c r="CT9" s="63"/>
      <c r="CU9" s="63"/>
      <c r="CV9" s="63"/>
      <c r="CW9" s="63"/>
      <c r="CX9" s="63"/>
      <c r="CY9" s="63"/>
      <c r="CZ9" s="63"/>
      <c r="DA9" s="63"/>
      <c r="DB9" s="63"/>
      <c r="DC9" s="63"/>
      <c r="DD9" s="63"/>
      <c r="DE9" s="63"/>
      <c r="DF9" s="63"/>
      <c r="DG9" s="63"/>
      <c r="DH9" s="63"/>
      <c r="DI9" s="63"/>
      <c r="DJ9" s="63"/>
      <c r="DK9" s="63"/>
      <c r="DL9" s="63"/>
      <c r="DM9" s="63"/>
      <c r="DN9" s="63"/>
      <c r="DO9" s="63"/>
      <c r="DP9" s="63"/>
      <c r="DQ9" s="63"/>
      <c r="DR9" s="63"/>
      <c r="DS9" s="63"/>
      <c r="DT9" s="63"/>
      <c r="DU9" s="63"/>
      <c r="DV9" s="63"/>
      <c r="DW9" s="63"/>
      <c r="DX9" s="63"/>
      <c r="DY9" s="63"/>
      <c r="DZ9" s="63"/>
      <c r="EA9" s="63"/>
      <c r="EB9" s="63"/>
      <c r="EC9" s="63"/>
      <c r="ED9" s="63"/>
      <c r="EE9" s="63"/>
      <c r="EF9" s="63"/>
      <c r="EG9" s="63"/>
      <c r="EH9" s="63"/>
      <c r="EI9" s="63"/>
      <c r="EJ9" s="63"/>
      <c r="EK9" s="63"/>
      <c r="EL9" s="63"/>
      <c r="EM9" s="63"/>
      <c r="EN9" s="63"/>
      <c r="EO9" s="63"/>
      <c r="EP9" s="63"/>
      <c r="EQ9" s="63"/>
      <c r="ER9" s="63"/>
      <c r="ES9" s="63"/>
      <c r="ET9" s="63"/>
      <c r="EU9" s="63"/>
      <c r="EV9" s="63"/>
      <c r="EW9" s="63"/>
      <c r="EX9" s="63"/>
      <c r="EY9" s="63"/>
      <c r="EZ9" s="63"/>
      <c r="FA9" s="63"/>
      <c r="FB9" s="63"/>
      <c r="FC9" s="63"/>
      <c r="FD9" s="63"/>
      <c r="FE9" s="63"/>
      <c r="FF9" s="63"/>
      <c r="FG9" s="63"/>
      <c r="FH9" s="63"/>
      <c r="FI9" s="63"/>
      <c r="FJ9" s="63"/>
      <c r="FK9" s="63"/>
      <c r="FL9" s="63"/>
    </row>
    <row r="10" spans="1:168" x14ac:dyDescent="0.25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3"/>
      <c r="BU10" s="63"/>
      <c r="BV10" s="63"/>
      <c r="BW10" s="63"/>
      <c r="BX10" s="63"/>
      <c r="BY10" s="63"/>
      <c r="BZ10" s="63"/>
      <c r="CA10" s="63"/>
      <c r="CB10" s="63"/>
      <c r="CC10" s="63"/>
      <c r="CD10" s="63"/>
      <c r="CE10" s="63"/>
      <c r="CF10" s="63"/>
      <c r="CG10" s="63"/>
      <c r="CH10" s="63"/>
      <c r="CI10" s="63"/>
      <c r="CJ10" s="63"/>
      <c r="CK10" s="63"/>
      <c r="CL10" s="63"/>
      <c r="CM10" s="63"/>
      <c r="CN10" s="63"/>
      <c r="CO10" s="63"/>
      <c r="CP10" s="63"/>
      <c r="CQ10" s="63"/>
      <c r="CR10" s="63"/>
      <c r="CS10" s="63"/>
      <c r="CT10" s="63"/>
      <c r="CU10" s="63"/>
      <c r="CV10" s="63"/>
      <c r="CW10" s="63"/>
      <c r="CX10" s="63"/>
      <c r="CY10" s="63"/>
      <c r="CZ10" s="63"/>
      <c r="DA10" s="63"/>
      <c r="DB10" s="63"/>
      <c r="DC10" s="63"/>
      <c r="DD10" s="63"/>
      <c r="DE10" s="63"/>
      <c r="DF10" s="63"/>
      <c r="DG10" s="63"/>
      <c r="DH10" s="63"/>
      <c r="DI10" s="63"/>
      <c r="DJ10" s="63"/>
      <c r="DK10" s="63"/>
      <c r="DL10" s="63"/>
      <c r="DM10" s="63"/>
      <c r="DN10" s="63"/>
      <c r="DO10" s="63"/>
      <c r="DP10" s="63"/>
      <c r="DQ10" s="63"/>
      <c r="DR10" s="63"/>
      <c r="DS10" s="63"/>
      <c r="DT10" s="63"/>
      <c r="DU10" s="63"/>
      <c r="DV10" s="63"/>
      <c r="DW10" s="63"/>
      <c r="DX10" s="63"/>
      <c r="DY10" s="63"/>
      <c r="DZ10" s="63"/>
      <c r="EA10" s="63"/>
      <c r="EB10" s="63"/>
      <c r="EC10" s="63"/>
      <c r="ED10" s="63"/>
      <c r="EE10" s="63"/>
      <c r="EF10" s="63"/>
      <c r="EG10" s="63"/>
      <c r="EH10" s="63"/>
      <c r="EI10" s="63"/>
      <c r="EJ10" s="63"/>
      <c r="EK10" s="63"/>
      <c r="EL10" s="63"/>
      <c r="EM10" s="63"/>
      <c r="EN10" s="63"/>
      <c r="EO10" s="63"/>
      <c r="EP10" s="63"/>
      <c r="EQ10" s="63"/>
      <c r="ER10" s="63"/>
      <c r="ES10" s="63"/>
      <c r="ET10" s="63"/>
      <c r="EU10" s="63"/>
      <c r="EV10" s="63"/>
      <c r="EW10" s="63"/>
      <c r="EX10" s="63"/>
      <c r="EY10" s="63"/>
      <c r="EZ10" s="63"/>
      <c r="FA10" s="63"/>
      <c r="FB10" s="63"/>
      <c r="FC10" s="63"/>
      <c r="FD10" s="63"/>
      <c r="FE10" s="63"/>
      <c r="FF10" s="63"/>
      <c r="FG10" s="63"/>
      <c r="FH10" s="63"/>
      <c r="FI10" s="63"/>
      <c r="FJ10" s="63"/>
      <c r="FK10" s="63"/>
      <c r="FL10" s="63"/>
    </row>
    <row r="11" spans="1:168" x14ac:dyDescent="0.25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3"/>
      <c r="BV11" s="63"/>
      <c r="BW11" s="63"/>
      <c r="BX11" s="63"/>
      <c r="BY11" s="63"/>
      <c r="BZ11" s="63"/>
      <c r="CA11" s="63"/>
      <c r="CB11" s="63"/>
      <c r="CC11" s="63"/>
      <c r="CD11" s="63"/>
      <c r="CE11" s="63"/>
      <c r="CF11" s="63"/>
      <c r="CG11" s="63"/>
      <c r="CH11" s="63"/>
      <c r="CI11" s="63"/>
      <c r="CJ11" s="63"/>
      <c r="CK11" s="63"/>
      <c r="CL11" s="63"/>
      <c r="CM11" s="63"/>
      <c r="CN11" s="63"/>
      <c r="CO11" s="63"/>
      <c r="CP11" s="63"/>
      <c r="CQ11" s="63"/>
      <c r="CR11" s="63"/>
      <c r="CS11" s="63"/>
      <c r="CT11" s="63"/>
      <c r="CU11" s="63"/>
      <c r="CV11" s="63"/>
      <c r="CW11" s="63"/>
      <c r="CX11" s="63"/>
      <c r="CY11" s="63"/>
      <c r="CZ11" s="63"/>
      <c r="DA11" s="63"/>
      <c r="DB11" s="63"/>
      <c r="DC11" s="63"/>
      <c r="DD11" s="63"/>
      <c r="DE11" s="63"/>
      <c r="DF11" s="63"/>
      <c r="DG11" s="63"/>
      <c r="DH11" s="63"/>
      <c r="DI11" s="63"/>
      <c r="DJ11" s="63"/>
      <c r="DK11" s="63"/>
      <c r="DL11" s="63"/>
      <c r="DM11" s="63"/>
      <c r="DN11" s="63"/>
      <c r="DO11" s="63"/>
      <c r="DP11" s="63"/>
      <c r="DQ11" s="63"/>
      <c r="DR11" s="63"/>
      <c r="DS11" s="63"/>
      <c r="DT11" s="63"/>
      <c r="DU11" s="63"/>
      <c r="DV11" s="63"/>
      <c r="DW11" s="63"/>
      <c r="DX11" s="63"/>
      <c r="DY11" s="63"/>
      <c r="DZ11" s="63"/>
      <c r="EA11" s="63"/>
      <c r="EB11" s="63"/>
      <c r="EC11" s="63"/>
      <c r="ED11" s="63"/>
      <c r="EE11" s="63"/>
      <c r="EF11" s="63"/>
      <c r="EG11" s="63"/>
      <c r="EH11" s="63"/>
      <c r="EI11" s="63"/>
      <c r="EJ11" s="63"/>
      <c r="EK11" s="63"/>
      <c r="EL11" s="63"/>
      <c r="EM11" s="63"/>
      <c r="EN11" s="63"/>
      <c r="EO11" s="63"/>
      <c r="EP11" s="63"/>
      <c r="EQ11" s="63"/>
      <c r="ER11" s="63"/>
      <c r="ES11" s="63"/>
      <c r="ET11" s="63"/>
      <c r="EU11" s="63"/>
      <c r="EV11" s="63"/>
      <c r="EW11" s="63"/>
      <c r="EX11" s="63"/>
      <c r="EY11" s="63"/>
      <c r="EZ11" s="63"/>
      <c r="FA11" s="63"/>
      <c r="FB11" s="63"/>
      <c r="FC11" s="63"/>
      <c r="FD11" s="63"/>
      <c r="FE11" s="63"/>
      <c r="FF11" s="63"/>
      <c r="FG11" s="63"/>
      <c r="FH11" s="63"/>
      <c r="FI11" s="63"/>
      <c r="FJ11" s="63"/>
      <c r="FK11" s="63"/>
      <c r="FL11" s="63"/>
    </row>
    <row r="12" spans="1:168" x14ac:dyDescent="0.25">
      <c r="A12" s="63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  <c r="CD12" s="63"/>
      <c r="CE12" s="63"/>
      <c r="CF12" s="63"/>
      <c r="CG12" s="63"/>
      <c r="CH12" s="63"/>
      <c r="CI12" s="63"/>
      <c r="CJ12" s="63"/>
      <c r="CK12" s="63"/>
      <c r="CL12" s="63"/>
      <c r="CM12" s="63"/>
      <c r="CN12" s="63"/>
      <c r="CO12" s="63"/>
      <c r="CP12" s="63"/>
      <c r="CQ12" s="63"/>
      <c r="CR12" s="63"/>
      <c r="CS12" s="63"/>
      <c r="CT12" s="63"/>
      <c r="CU12" s="63"/>
      <c r="CV12" s="63"/>
      <c r="CW12" s="63"/>
      <c r="CX12" s="63"/>
      <c r="CY12" s="63"/>
      <c r="CZ12" s="63"/>
      <c r="DA12" s="63"/>
      <c r="DB12" s="63"/>
      <c r="DC12" s="63"/>
      <c r="DD12" s="63"/>
      <c r="DE12" s="63"/>
      <c r="DF12" s="63"/>
      <c r="DG12" s="63"/>
      <c r="DH12" s="63"/>
      <c r="DI12" s="63"/>
      <c r="DJ12" s="63"/>
      <c r="DK12" s="63"/>
      <c r="DL12" s="63"/>
      <c r="DM12" s="63"/>
      <c r="DN12" s="63"/>
      <c r="DO12" s="63"/>
      <c r="DP12" s="63"/>
      <c r="DQ12" s="63"/>
      <c r="DR12" s="63"/>
      <c r="DS12" s="63"/>
      <c r="DT12" s="63"/>
      <c r="DU12" s="63"/>
      <c r="DV12" s="63"/>
      <c r="DW12" s="63"/>
      <c r="DX12" s="63"/>
      <c r="DY12" s="63"/>
      <c r="DZ12" s="63"/>
      <c r="EA12" s="63"/>
      <c r="EB12" s="63"/>
      <c r="EC12" s="63"/>
      <c r="ED12" s="63"/>
      <c r="EE12" s="63"/>
      <c r="EF12" s="63"/>
      <c r="EG12" s="63"/>
      <c r="EH12" s="63"/>
      <c r="EI12" s="63"/>
      <c r="EJ12" s="63"/>
      <c r="EK12" s="63"/>
      <c r="EL12" s="63"/>
      <c r="EM12" s="63"/>
      <c r="EN12" s="63"/>
      <c r="EO12" s="63"/>
      <c r="EP12" s="63"/>
      <c r="EQ12" s="63"/>
      <c r="ER12" s="63"/>
      <c r="ES12" s="63"/>
      <c r="ET12" s="63"/>
      <c r="EU12" s="63"/>
      <c r="EV12" s="63"/>
      <c r="EW12" s="63"/>
      <c r="EX12" s="63"/>
      <c r="EY12" s="63"/>
      <c r="EZ12" s="63"/>
      <c r="FA12" s="63"/>
      <c r="FB12" s="63"/>
      <c r="FC12" s="63"/>
      <c r="FD12" s="63"/>
      <c r="FE12" s="63"/>
      <c r="FF12" s="63"/>
      <c r="FG12" s="63"/>
      <c r="FH12" s="63"/>
      <c r="FI12" s="63"/>
      <c r="FJ12" s="63"/>
      <c r="FK12" s="63"/>
      <c r="FL12" s="63"/>
    </row>
    <row r="13" spans="1:168" x14ac:dyDescent="0.25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  <c r="CC13" s="63"/>
      <c r="CD13" s="63"/>
      <c r="CE13" s="63"/>
      <c r="CF13" s="63"/>
      <c r="CG13" s="63"/>
      <c r="CH13" s="63"/>
      <c r="CI13" s="63"/>
      <c r="CJ13" s="63"/>
      <c r="CK13" s="63"/>
      <c r="CL13" s="63"/>
      <c r="CM13" s="63"/>
      <c r="CN13" s="63"/>
      <c r="CO13" s="63"/>
      <c r="CP13" s="63"/>
      <c r="CQ13" s="63"/>
      <c r="CR13" s="63"/>
      <c r="CS13" s="63"/>
      <c r="CT13" s="63"/>
      <c r="CU13" s="63"/>
      <c r="CV13" s="63"/>
      <c r="CW13" s="63"/>
      <c r="CX13" s="63"/>
      <c r="CY13" s="63"/>
      <c r="CZ13" s="63"/>
      <c r="DA13" s="63"/>
      <c r="DB13" s="63"/>
      <c r="DC13" s="63"/>
      <c r="DD13" s="63"/>
      <c r="DE13" s="63"/>
      <c r="DF13" s="63"/>
      <c r="DG13" s="63"/>
      <c r="DH13" s="63"/>
      <c r="DI13" s="63"/>
      <c r="DJ13" s="63"/>
      <c r="DK13" s="63"/>
      <c r="DL13" s="63"/>
      <c r="DM13" s="63"/>
      <c r="DN13" s="63"/>
      <c r="DO13" s="63"/>
      <c r="DP13" s="63"/>
      <c r="DQ13" s="63"/>
      <c r="DR13" s="63"/>
      <c r="DS13" s="63"/>
      <c r="DT13" s="63"/>
      <c r="DU13" s="63"/>
      <c r="DV13" s="63"/>
      <c r="DW13" s="63"/>
      <c r="DX13" s="63"/>
      <c r="DY13" s="63"/>
      <c r="DZ13" s="63"/>
      <c r="EA13" s="63"/>
      <c r="EB13" s="63"/>
      <c r="EC13" s="63"/>
      <c r="ED13" s="63"/>
      <c r="EE13" s="63"/>
      <c r="EF13" s="63"/>
      <c r="EG13" s="63"/>
      <c r="EH13" s="63"/>
      <c r="EI13" s="63"/>
      <c r="EJ13" s="63"/>
      <c r="EK13" s="63"/>
      <c r="EL13" s="63"/>
      <c r="EM13" s="63"/>
      <c r="EN13" s="63"/>
      <c r="EO13" s="63"/>
      <c r="EP13" s="63"/>
      <c r="EQ13" s="63"/>
      <c r="ER13" s="63"/>
      <c r="ES13" s="63"/>
      <c r="ET13" s="63"/>
      <c r="EU13" s="63"/>
      <c r="EV13" s="63"/>
      <c r="EW13" s="63"/>
      <c r="EX13" s="63"/>
      <c r="EY13" s="63"/>
      <c r="EZ13" s="63"/>
      <c r="FA13" s="63"/>
      <c r="FB13" s="63"/>
      <c r="FC13" s="63"/>
      <c r="FD13" s="63"/>
      <c r="FE13" s="63"/>
      <c r="FF13" s="63"/>
      <c r="FG13" s="63"/>
      <c r="FH13" s="63"/>
      <c r="FI13" s="63"/>
      <c r="FJ13" s="63"/>
      <c r="FK13" s="63"/>
      <c r="FL13" s="63"/>
    </row>
    <row r="14" spans="1:168" x14ac:dyDescent="0.25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3"/>
      <c r="CF14" s="63"/>
      <c r="CG14" s="63"/>
      <c r="CH14" s="63"/>
      <c r="CI14" s="63"/>
      <c r="CJ14" s="63"/>
      <c r="CK14" s="63"/>
      <c r="CL14" s="63"/>
      <c r="CM14" s="63"/>
      <c r="CN14" s="63"/>
      <c r="CO14" s="63"/>
      <c r="CP14" s="63"/>
      <c r="CQ14" s="63"/>
      <c r="CR14" s="63"/>
      <c r="CS14" s="63"/>
      <c r="CT14" s="63"/>
      <c r="CU14" s="63"/>
      <c r="CV14" s="63"/>
      <c r="CW14" s="63"/>
      <c r="CX14" s="63"/>
      <c r="CY14" s="63"/>
      <c r="CZ14" s="63"/>
      <c r="DA14" s="63"/>
      <c r="DB14" s="63"/>
      <c r="DC14" s="63"/>
      <c r="DD14" s="63"/>
      <c r="DE14" s="63"/>
      <c r="DF14" s="63"/>
      <c r="DG14" s="63"/>
      <c r="DH14" s="63"/>
      <c r="DI14" s="63"/>
      <c r="DJ14" s="63"/>
      <c r="DK14" s="63"/>
      <c r="DL14" s="63"/>
      <c r="DM14" s="63"/>
      <c r="DN14" s="63"/>
      <c r="DO14" s="63"/>
      <c r="DP14" s="63"/>
      <c r="DQ14" s="63"/>
      <c r="DR14" s="63"/>
      <c r="DS14" s="63"/>
      <c r="DT14" s="63"/>
      <c r="DU14" s="63"/>
      <c r="DV14" s="63"/>
      <c r="DW14" s="63"/>
      <c r="DX14" s="63"/>
      <c r="DY14" s="63"/>
      <c r="DZ14" s="63"/>
      <c r="EA14" s="63"/>
      <c r="EB14" s="63"/>
      <c r="EC14" s="63"/>
      <c r="ED14" s="63"/>
      <c r="EE14" s="63"/>
      <c r="EF14" s="63"/>
      <c r="EG14" s="63"/>
      <c r="EH14" s="63"/>
      <c r="EI14" s="63"/>
      <c r="EJ14" s="63"/>
      <c r="EK14" s="63"/>
      <c r="EL14" s="63"/>
      <c r="EM14" s="63"/>
      <c r="EN14" s="63"/>
      <c r="EO14" s="63"/>
      <c r="EP14" s="63"/>
      <c r="EQ14" s="63"/>
      <c r="ER14" s="63"/>
      <c r="ES14" s="63"/>
      <c r="ET14" s="63"/>
      <c r="EU14" s="63"/>
      <c r="EV14" s="63"/>
      <c r="EW14" s="63"/>
      <c r="EX14" s="63"/>
      <c r="EY14" s="63"/>
      <c r="EZ14" s="63"/>
      <c r="FA14" s="63"/>
      <c r="FB14" s="63"/>
      <c r="FC14" s="63"/>
      <c r="FD14" s="63"/>
      <c r="FE14" s="63"/>
      <c r="FF14" s="63"/>
      <c r="FG14" s="63"/>
      <c r="FH14" s="63"/>
      <c r="FI14" s="63"/>
      <c r="FJ14" s="63"/>
      <c r="FK14" s="63"/>
      <c r="FL14" s="63"/>
    </row>
    <row r="15" spans="1:168" x14ac:dyDescent="0.25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3"/>
      <c r="BV15" s="63"/>
      <c r="BW15" s="63"/>
      <c r="BX15" s="63"/>
      <c r="BY15" s="63"/>
      <c r="BZ15" s="63"/>
      <c r="CA15" s="63"/>
      <c r="CB15" s="63"/>
      <c r="CC15" s="63"/>
      <c r="CD15" s="63"/>
      <c r="CE15" s="63"/>
      <c r="CF15" s="63"/>
      <c r="CG15" s="63"/>
      <c r="CH15" s="63"/>
      <c r="CI15" s="63"/>
      <c r="CJ15" s="63"/>
      <c r="CK15" s="63"/>
      <c r="CL15" s="63"/>
      <c r="CM15" s="63"/>
      <c r="CN15" s="63"/>
      <c r="CO15" s="63"/>
      <c r="CP15" s="63"/>
      <c r="CQ15" s="63"/>
      <c r="CR15" s="63"/>
      <c r="CS15" s="63"/>
      <c r="CT15" s="63"/>
      <c r="CU15" s="63"/>
      <c r="CV15" s="63"/>
      <c r="CW15" s="63"/>
      <c r="CX15" s="63"/>
      <c r="CY15" s="63"/>
      <c r="CZ15" s="63"/>
      <c r="DA15" s="63"/>
      <c r="DB15" s="63"/>
      <c r="DC15" s="63"/>
      <c r="DD15" s="63"/>
      <c r="DE15" s="63"/>
      <c r="DF15" s="63"/>
      <c r="DG15" s="63"/>
      <c r="DH15" s="63"/>
      <c r="DI15" s="63"/>
      <c r="DJ15" s="63"/>
      <c r="DK15" s="63"/>
      <c r="DL15" s="63"/>
      <c r="DM15" s="63"/>
      <c r="DN15" s="63"/>
      <c r="DO15" s="63"/>
      <c r="DP15" s="63"/>
      <c r="DQ15" s="63"/>
      <c r="DR15" s="63"/>
      <c r="DS15" s="63"/>
      <c r="DT15" s="63"/>
      <c r="DU15" s="63"/>
      <c r="DV15" s="63"/>
      <c r="DW15" s="63"/>
      <c r="DX15" s="63"/>
      <c r="DY15" s="63"/>
      <c r="DZ15" s="63"/>
      <c r="EA15" s="63"/>
      <c r="EB15" s="63"/>
      <c r="EC15" s="63"/>
      <c r="ED15" s="63"/>
      <c r="EE15" s="63"/>
      <c r="EF15" s="63"/>
      <c r="EG15" s="63"/>
      <c r="EH15" s="63"/>
      <c r="EI15" s="63"/>
      <c r="EJ15" s="63"/>
      <c r="EK15" s="63"/>
      <c r="EL15" s="63"/>
      <c r="EM15" s="63"/>
      <c r="EN15" s="63"/>
      <c r="EO15" s="63"/>
      <c r="EP15" s="63"/>
      <c r="EQ15" s="63"/>
      <c r="ER15" s="63"/>
      <c r="ES15" s="63"/>
      <c r="ET15" s="63"/>
      <c r="EU15" s="63"/>
      <c r="EV15" s="63"/>
      <c r="EW15" s="63"/>
      <c r="EX15" s="63"/>
      <c r="EY15" s="63"/>
      <c r="EZ15" s="63"/>
      <c r="FA15" s="63"/>
      <c r="FB15" s="63"/>
      <c r="FC15" s="63"/>
      <c r="FD15" s="63"/>
      <c r="FE15" s="63"/>
      <c r="FF15" s="63"/>
      <c r="FG15" s="63"/>
      <c r="FH15" s="63"/>
      <c r="FI15" s="63"/>
      <c r="FJ15" s="63"/>
      <c r="FK15" s="63"/>
      <c r="FL15" s="63"/>
    </row>
    <row r="16" spans="1:168" x14ac:dyDescent="0.25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3"/>
      <c r="BV16" s="63"/>
      <c r="BW16" s="63"/>
      <c r="BX16" s="63"/>
      <c r="BY16" s="63"/>
      <c r="BZ16" s="63"/>
      <c r="CA16" s="63"/>
      <c r="CB16" s="63"/>
      <c r="CC16" s="63"/>
      <c r="CD16" s="63"/>
      <c r="CE16" s="63"/>
      <c r="CF16" s="63"/>
      <c r="CG16" s="63"/>
      <c r="CH16" s="63"/>
      <c r="CI16" s="63"/>
      <c r="CJ16" s="63"/>
      <c r="CK16" s="63"/>
      <c r="CL16" s="63"/>
      <c r="CM16" s="63"/>
      <c r="CN16" s="63"/>
      <c r="CO16" s="63"/>
      <c r="CP16" s="63"/>
      <c r="CQ16" s="63"/>
      <c r="CR16" s="63"/>
      <c r="CS16" s="63"/>
      <c r="CT16" s="63"/>
      <c r="CU16" s="63"/>
      <c r="CV16" s="63"/>
      <c r="CW16" s="63"/>
      <c r="CX16" s="63"/>
      <c r="CY16" s="63"/>
      <c r="CZ16" s="63"/>
      <c r="DA16" s="63"/>
      <c r="DB16" s="63"/>
      <c r="DC16" s="63"/>
      <c r="DD16" s="63"/>
      <c r="DE16" s="63"/>
      <c r="DF16" s="63"/>
      <c r="DG16" s="63"/>
      <c r="DH16" s="63"/>
      <c r="DI16" s="63"/>
      <c r="DJ16" s="63"/>
      <c r="DK16" s="63"/>
      <c r="DL16" s="63"/>
      <c r="DM16" s="63"/>
      <c r="DN16" s="63"/>
      <c r="DO16" s="63"/>
      <c r="DP16" s="63"/>
      <c r="DQ16" s="63"/>
      <c r="DR16" s="63"/>
      <c r="DS16" s="63"/>
      <c r="DT16" s="63"/>
      <c r="DU16" s="63"/>
      <c r="DV16" s="63"/>
      <c r="DW16" s="63"/>
      <c r="DX16" s="63"/>
      <c r="DY16" s="63"/>
      <c r="DZ16" s="63"/>
      <c r="EA16" s="63"/>
      <c r="EB16" s="63"/>
      <c r="EC16" s="63"/>
      <c r="ED16" s="63"/>
      <c r="EE16" s="63"/>
      <c r="EF16" s="63"/>
      <c r="EG16" s="63"/>
      <c r="EH16" s="63"/>
      <c r="EI16" s="63"/>
      <c r="EJ16" s="63"/>
      <c r="EK16" s="63"/>
      <c r="EL16" s="63"/>
      <c r="EM16" s="63"/>
      <c r="EN16" s="63"/>
      <c r="EO16" s="63"/>
      <c r="EP16" s="63"/>
      <c r="EQ16" s="63"/>
      <c r="ER16" s="63"/>
      <c r="ES16" s="63"/>
      <c r="ET16" s="63"/>
      <c r="EU16" s="63"/>
      <c r="EV16" s="63"/>
      <c r="EW16" s="63"/>
      <c r="EX16" s="63"/>
      <c r="EY16" s="63"/>
      <c r="EZ16" s="63"/>
      <c r="FA16" s="63"/>
      <c r="FB16" s="63"/>
      <c r="FC16" s="63"/>
      <c r="FD16" s="63"/>
      <c r="FE16" s="63"/>
      <c r="FF16" s="63"/>
      <c r="FG16" s="63"/>
      <c r="FH16" s="63"/>
      <c r="FI16" s="63"/>
      <c r="FJ16" s="63"/>
      <c r="FK16" s="63"/>
      <c r="FL16" s="63"/>
    </row>
    <row r="17" spans="1:168" x14ac:dyDescent="0.25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3"/>
      <c r="CF17" s="63"/>
      <c r="CG17" s="63"/>
      <c r="CH17" s="63"/>
      <c r="CI17" s="63"/>
      <c r="CJ17" s="63"/>
      <c r="CK17" s="63"/>
      <c r="CL17" s="63"/>
      <c r="CM17" s="63"/>
      <c r="CN17" s="63"/>
      <c r="CO17" s="63"/>
      <c r="CP17" s="63"/>
      <c r="CQ17" s="63"/>
      <c r="CR17" s="63"/>
      <c r="CS17" s="63"/>
      <c r="CT17" s="63"/>
      <c r="CU17" s="63"/>
      <c r="CV17" s="63"/>
      <c r="CW17" s="63"/>
      <c r="CX17" s="63"/>
      <c r="CY17" s="63"/>
      <c r="CZ17" s="63"/>
      <c r="DA17" s="63"/>
      <c r="DB17" s="63"/>
      <c r="DC17" s="63"/>
      <c r="DD17" s="63"/>
      <c r="DE17" s="63"/>
      <c r="DF17" s="63"/>
      <c r="DG17" s="63"/>
      <c r="DH17" s="63"/>
      <c r="DI17" s="63"/>
      <c r="DJ17" s="63"/>
      <c r="DK17" s="63"/>
      <c r="DL17" s="63"/>
      <c r="DM17" s="63"/>
      <c r="DN17" s="63"/>
      <c r="DO17" s="63"/>
      <c r="DP17" s="63"/>
      <c r="DQ17" s="63"/>
      <c r="DR17" s="63"/>
      <c r="DS17" s="63"/>
      <c r="DT17" s="63"/>
      <c r="DU17" s="63"/>
      <c r="DV17" s="63"/>
      <c r="DW17" s="63"/>
      <c r="DX17" s="63"/>
      <c r="DY17" s="63"/>
      <c r="DZ17" s="63"/>
      <c r="EA17" s="63"/>
      <c r="EB17" s="63"/>
      <c r="EC17" s="63"/>
      <c r="ED17" s="63"/>
      <c r="EE17" s="63"/>
      <c r="EF17" s="63"/>
      <c r="EG17" s="63"/>
      <c r="EH17" s="63"/>
      <c r="EI17" s="63"/>
      <c r="EJ17" s="63"/>
      <c r="EK17" s="63"/>
      <c r="EL17" s="63"/>
      <c r="EM17" s="63"/>
      <c r="EN17" s="63"/>
      <c r="EO17" s="63"/>
      <c r="EP17" s="63"/>
      <c r="EQ17" s="63"/>
      <c r="ER17" s="63"/>
      <c r="ES17" s="63"/>
      <c r="ET17" s="63"/>
      <c r="EU17" s="63"/>
      <c r="EV17" s="63"/>
      <c r="EW17" s="63"/>
      <c r="EX17" s="63"/>
      <c r="EY17" s="63"/>
      <c r="EZ17" s="63"/>
      <c r="FA17" s="63"/>
      <c r="FB17" s="63"/>
      <c r="FC17" s="63"/>
      <c r="FD17" s="63"/>
      <c r="FE17" s="63"/>
      <c r="FF17" s="63"/>
      <c r="FG17" s="63"/>
      <c r="FH17" s="63"/>
      <c r="FI17" s="63"/>
      <c r="FJ17" s="63"/>
      <c r="FK17" s="63"/>
      <c r="FL17" s="63"/>
    </row>
    <row r="18" spans="1:168" x14ac:dyDescent="0.2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3"/>
      <c r="CD18" s="63"/>
      <c r="CE18" s="63"/>
      <c r="CF18" s="63"/>
      <c r="CG18" s="63"/>
      <c r="CH18" s="63"/>
      <c r="CI18" s="63"/>
      <c r="CJ18" s="63"/>
      <c r="CK18" s="63"/>
      <c r="CL18" s="63"/>
      <c r="CM18" s="63"/>
      <c r="CN18" s="63"/>
      <c r="CO18" s="63"/>
      <c r="CP18" s="63"/>
      <c r="CQ18" s="63"/>
      <c r="CR18" s="63"/>
      <c r="CS18" s="63"/>
      <c r="CT18" s="63"/>
      <c r="CU18" s="63"/>
      <c r="CV18" s="63"/>
      <c r="CW18" s="63"/>
      <c r="CX18" s="63"/>
      <c r="CY18" s="63"/>
      <c r="CZ18" s="63"/>
      <c r="DA18" s="63"/>
      <c r="DB18" s="63"/>
      <c r="DC18" s="63"/>
      <c r="DD18" s="63"/>
      <c r="DE18" s="63"/>
      <c r="DF18" s="63"/>
      <c r="DG18" s="63"/>
      <c r="DH18" s="63"/>
      <c r="DI18" s="63"/>
      <c r="DJ18" s="63"/>
      <c r="DK18" s="63"/>
      <c r="DL18" s="63"/>
      <c r="DM18" s="63"/>
      <c r="DN18" s="63"/>
      <c r="DO18" s="63"/>
      <c r="DP18" s="63"/>
      <c r="DQ18" s="63"/>
      <c r="DR18" s="63"/>
      <c r="DS18" s="63"/>
      <c r="DT18" s="63"/>
      <c r="DU18" s="63"/>
      <c r="DV18" s="63"/>
      <c r="DW18" s="63"/>
      <c r="DX18" s="63"/>
      <c r="DY18" s="63"/>
      <c r="DZ18" s="63"/>
      <c r="EA18" s="63"/>
      <c r="EB18" s="63"/>
      <c r="EC18" s="63"/>
      <c r="ED18" s="63"/>
      <c r="EE18" s="63"/>
      <c r="EF18" s="63"/>
      <c r="EG18" s="63"/>
      <c r="EH18" s="63"/>
      <c r="EI18" s="63"/>
      <c r="EJ18" s="63"/>
      <c r="EK18" s="63"/>
      <c r="EL18" s="63"/>
      <c r="EM18" s="63"/>
      <c r="EN18" s="63"/>
      <c r="EO18" s="63"/>
      <c r="EP18" s="63"/>
      <c r="EQ18" s="63"/>
      <c r="ER18" s="63"/>
      <c r="ES18" s="63"/>
      <c r="ET18" s="63"/>
      <c r="EU18" s="63"/>
      <c r="EV18" s="63"/>
      <c r="EW18" s="63"/>
      <c r="EX18" s="63"/>
      <c r="EY18" s="63"/>
      <c r="EZ18" s="63"/>
      <c r="FA18" s="63"/>
      <c r="FB18" s="63"/>
      <c r="FC18" s="63"/>
      <c r="FD18" s="63"/>
      <c r="FE18" s="63"/>
      <c r="FF18" s="63"/>
      <c r="FG18" s="63"/>
      <c r="FH18" s="63"/>
      <c r="FI18" s="63"/>
      <c r="FJ18" s="63"/>
      <c r="FK18" s="63"/>
      <c r="FL18" s="63"/>
    </row>
    <row r="19" spans="1:168" x14ac:dyDescent="0.2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  <c r="BZ19" s="63"/>
      <c r="CA19" s="63"/>
      <c r="CB19" s="63"/>
      <c r="CC19" s="63"/>
      <c r="CD19" s="63"/>
      <c r="CE19" s="63"/>
      <c r="CF19" s="63"/>
      <c r="CG19" s="63"/>
      <c r="CH19" s="63"/>
      <c r="CI19" s="63"/>
      <c r="CJ19" s="63"/>
      <c r="CK19" s="63"/>
      <c r="CL19" s="63"/>
      <c r="CM19" s="63"/>
      <c r="CN19" s="63"/>
      <c r="CO19" s="63"/>
      <c r="CP19" s="63"/>
      <c r="CQ19" s="63"/>
      <c r="CR19" s="63"/>
      <c r="CS19" s="63"/>
      <c r="CT19" s="63"/>
      <c r="CU19" s="63"/>
      <c r="CV19" s="63"/>
      <c r="CW19" s="63"/>
      <c r="CX19" s="63"/>
      <c r="CY19" s="63"/>
      <c r="CZ19" s="63"/>
      <c r="DA19" s="63"/>
      <c r="DB19" s="63"/>
      <c r="DC19" s="63"/>
      <c r="DD19" s="63"/>
      <c r="DE19" s="63"/>
      <c r="DF19" s="63"/>
      <c r="DG19" s="63"/>
      <c r="DH19" s="63"/>
      <c r="DI19" s="63"/>
      <c r="DJ19" s="63"/>
      <c r="DK19" s="63"/>
      <c r="DL19" s="63"/>
      <c r="DM19" s="63"/>
      <c r="DN19" s="63"/>
      <c r="DO19" s="63"/>
      <c r="DP19" s="63"/>
      <c r="DQ19" s="63"/>
      <c r="DR19" s="63"/>
      <c r="DS19" s="63"/>
      <c r="DT19" s="63"/>
      <c r="DU19" s="63"/>
      <c r="DV19" s="63"/>
      <c r="DW19" s="63"/>
      <c r="DX19" s="63"/>
      <c r="DY19" s="63"/>
      <c r="DZ19" s="63"/>
      <c r="EA19" s="63"/>
      <c r="EB19" s="63"/>
      <c r="EC19" s="63"/>
      <c r="ED19" s="63"/>
      <c r="EE19" s="63"/>
      <c r="EF19" s="63"/>
      <c r="EG19" s="63"/>
      <c r="EH19" s="63"/>
      <c r="EI19" s="63"/>
      <c r="EJ19" s="63"/>
      <c r="EK19" s="63"/>
      <c r="EL19" s="63"/>
      <c r="EM19" s="63"/>
      <c r="EN19" s="63"/>
      <c r="EO19" s="63"/>
      <c r="EP19" s="63"/>
      <c r="EQ19" s="63"/>
      <c r="ER19" s="63"/>
      <c r="ES19" s="63"/>
      <c r="ET19" s="63"/>
      <c r="EU19" s="63"/>
      <c r="EV19" s="63"/>
      <c r="EW19" s="63"/>
      <c r="EX19" s="63"/>
      <c r="EY19" s="63"/>
      <c r="EZ19" s="63"/>
      <c r="FA19" s="63"/>
      <c r="FB19" s="63"/>
      <c r="FC19" s="63"/>
      <c r="FD19" s="63"/>
      <c r="FE19" s="63"/>
      <c r="FF19" s="63"/>
      <c r="FG19" s="63"/>
      <c r="FH19" s="63"/>
      <c r="FI19" s="63"/>
      <c r="FJ19" s="63"/>
      <c r="FK19" s="63"/>
      <c r="FL19" s="63"/>
    </row>
    <row r="20" spans="1:168" x14ac:dyDescent="0.25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3"/>
      <c r="BF20" s="63"/>
      <c r="BG20" s="63"/>
      <c r="BH20" s="63"/>
      <c r="BI20" s="63"/>
      <c r="BJ20" s="63"/>
      <c r="BK20" s="63"/>
      <c r="BL20" s="63"/>
      <c r="BM20" s="63"/>
      <c r="BN20" s="63"/>
      <c r="BO20" s="63"/>
      <c r="BP20" s="63"/>
      <c r="BQ20" s="63"/>
      <c r="BR20" s="63"/>
      <c r="BS20" s="63"/>
      <c r="BT20" s="63"/>
      <c r="BU20" s="63"/>
      <c r="BV20" s="63"/>
      <c r="BW20" s="63"/>
      <c r="BX20" s="63"/>
      <c r="BY20" s="63"/>
      <c r="BZ20" s="63"/>
      <c r="CA20" s="63"/>
      <c r="CB20" s="63"/>
      <c r="CC20" s="63"/>
      <c r="CD20" s="63"/>
      <c r="CE20" s="63"/>
      <c r="CF20" s="63"/>
      <c r="CG20" s="63"/>
      <c r="CH20" s="63"/>
      <c r="CI20" s="63"/>
      <c r="CJ20" s="63"/>
      <c r="CK20" s="63"/>
      <c r="CL20" s="63"/>
      <c r="CM20" s="63"/>
      <c r="CN20" s="63"/>
      <c r="CO20" s="63"/>
      <c r="CP20" s="63"/>
      <c r="CQ20" s="63"/>
      <c r="CR20" s="63"/>
      <c r="CS20" s="63"/>
      <c r="CT20" s="63"/>
      <c r="CU20" s="63"/>
      <c r="CV20" s="63"/>
      <c r="CW20" s="63"/>
      <c r="CX20" s="63"/>
      <c r="CY20" s="63"/>
      <c r="CZ20" s="63"/>
      <c r="DA20" s="63"/>
      <c r="DB20" s="63"/>
      <c r="DC20" s="63"/>
      <c r="DD20" s="63"/>
      <c r="DE20" s="63"/>
      <c r="DF20" s="63"/>
      <c r="DG20" s="63"/>
      <c r="DH20" s="63"/>
      <c r="DI20" s="63"/>
      <c r="DJ20" s="63"/>
      <c r="DK20" s="63"/>
      <c r="DL20" s="63"/>
      <c r="DM20" s="63"/>
      <c r="DN20" s="63"/>
      <c r="DO20" s="63"/>
      <c r="DP20" s="63"/>
      <c r="DQ20" s="63"/>
      <c r="DR20" s="63"/>
      <c r="DS20" s="63"/>
      <c r="DT20" s="63"/>
      <c r="DU20" s="63"/>
      <c r="DV20" s="63"/>
      <c r="DW20" s="63"/>
      <c r="DX20" s="63"/>
      <c r="DY20" s="63"/>
      <c r="DZ20" s="63"/>
      <c r="EA20" s="63"/>
      <c r="EB20" s="63"/>
      <c r="EC20" s="63"/>
      <c r="ED20" s="63"/>
      <c r="EE20" s="63"/>
      <c r="EF20" s="63"/>
      <c r="EG20" s="63"/>
      <c r="EH20" s="63"/>
      <c r="EI20" s="63"/>
      <c r="EJ20" s="63"/>
      <c r="EK20" s="63"/>
      <c r="EL20" s="63"/>
      <c r="EM20" s="63"/>
      <c r="EN20" s="63"/>
      <c r="EO20" s="63"/>
      <c r="EP20" s="63"/>
      <c r="EQ20" s="63"/>
      <c r="ER20" s="63"/>
      <c r="ES20" s="63"/>
      <c r="ET20" s="63"/>
      <c r="EU20" s="63"/>
      <c r="EV20" s="63"/>
      <c r="EW20" s="63"/>
      <c r="EX20" s="63"/>
      <c r="EY20" s="63"/>
      <c r="EZ20" s="63"/>
      <c r="FA20" s="63"/>
      <c r="FB20" s="63"/>
      <c r="FC20" s="63"/>
      <c r="FD20" s="63"/>
      <c r="FE20" s="63"/>
      <c r="FF20" s="63"/>
      <c r="FG20" s="63"/>
      <c r="FH20" s="63"/>
      <c r="FI20" s="63"/>
      <c r="FJ20" s="63"/>
      <c r="FK20" s="63"/>
      <c r="FL20" s="63"/>
    </row>
    <row r="21" spans="1:168" x14ac:dyDescent="0.25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3"/>
      <c r="BP21" s="63"/>
      <c r="BQ21" s="63"/>
      <c r="BR21" s="63"/>
      <c r="BS21" s="63"/>
      <c r="BT21" s="63"/>
      <c r="BU21" s="63"/>
      <c r="BV21" s="63"/>
      <c r="BW21" s="63"/>
      <c r="BX21" s="63"/>
      <c r="BY21" s="63"/>
      <c r="BZ21" s="63"/>
      <c r="CA21" s="63"/>
      <c r="CB21" s="63"/>
      <c r="CC21" s="63"/>
      <c r="CD21" s="63"/>
      <c r="CE21" s="63"/>
      <c r="CF21" s="63"/>
      <c r="CG21" s="63"/>
      <c r="CH21" s="63"/>
      <c r="CI21" s="63"/>
      <c r="CJ21" s="63"/>
      <c r="CK21" s="63"/>
      <c r="CL21" s="63"/>
      <c r="CM21" s="63"/>
      <c r="CN21" s="63"/>
      <c r="CO21" s="63"/>
      <c r="CP21" s="63"/>
      <c r="CQ21" s="63"/>
      <c r="CR21" s="63"/>
      <c r="CS21" s="63"/>
      <c r="CT21" s="63"/>
      <c r="CU21" s="63"/>
      <c r="CV21" s="63"/>
      <c r="CW21" s="63"/>
      <c r="CX21" s="63"/>
      <c r="CY21" s="63"/>
      <c r="CZ21" s="63"/>
      <c r="DA21" s="63"/>
      <c r="DB21" s="63"/>
      <c r="DC21" s="63"/>
      <c r="DD21" s="63"/>
      <c r="DE21" s="63"/>
      <c r="DF21" s="63"/>
      <c r="DG21" s="63"/>
      <c r="DH21" s="63"/>
      <c r="DI21" s="63"/>
      <c r="DJ21" s="63"/>
      <c r="DK21" s="63"/>
      <c r="DL21" s="63"/>
      <c r="DM21" s="63"/>
      <c r="DN21" s="63"/>
      <c r="DO21" s="63"/>
      <c r="DP21" s="63"/>
      <c r="DQ21" s="63"/>
      <c r="DR21" s="63"/>
      <c r="DS21" s="63"/>
      <c r="DT21" s="63"/>
      <c r="DU21" s="63"/>
      <c r="DV21" s="63"/>
      <c r="DW21" s="63"/>
      <c r="DX21" s="63"/>
      <c r="DY21" s="63"/>
      <c r="DZ21" s="63"/>
      <c r="EA21" s="63"/>
      <c r="EB21" s="63"/>
      <c r="EC21" s="63"/>
      <c r="ED21" s="63"/>
      <c r="EE21" s="63"/>
      <c r="EF21" s="63"/>
      <c r="EG21" s="63"/>
      <c r="EH21" s="63"/>
      <c r="EI21" s="63"/>
      <c r="EJ21" s="63"/>
      <c r="EK21" s="63"/>
      <c r="EL21" s="63"/>
      <c r="EM21" s="63"/>
      <c r="EN21" s="63"/>
      <c r="EO21" s="63"/>
      <c r="EP21" s="63"/>
      <c r="EQ21" s="63"/>
      <c r="ER21" s="63"/>
      <c r="ES21" s="63"/>
      <c r="ET21" s="63"/>
      <c r="EU21" s="63"/>
      <c r="EV21" s="63"/>
      <c r="EW21" s="63"/>
      <c r="EX21" s="63"/>
      <c r="EY21" s="63"/>
      <c r="EZ21" s="63"/>
      <c r="FA21" s="63"/>
      <c r="FB21" s="63"/>
      <c r="FC21" s="63"/>
      <c r="FD21" s="63"/>
      <c r="FE21" s="63"/>
      <c r="FF21" s="63"/>
      <c r="FG21" s="63"/>
      <c r="FH21" s="63"/>
      <c r="FI21" s="63"/>
      <c r="FJ21" s="63"/>
      <c r="FK21" s="63"/>
      <c r="FL21" s="63"/>
    </row>
    <row r="22" spans="1:168" x14ac:dyDescent="0.25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3"/>
      <c r="BV22" s="63"/>
      <c r="BW22" s="63"/>
      <c r="BX22" s="63"/>
      <c r="BY22" s="63"/>
      <c r="BZ22" s="63"/>
      <c r="CA22" s="63"/>
      <c r="CB22" s="63"/>
      <c r="CC22" s="63"/>
      <c r="CD22" s="63"/>
      <c r="CE22" s="63"/>
      <c r="CF22" s="63"/>
      <c r="CG22" s="63"/>
      <c r="CH22" s="63"/>
      <c r="CI22" s="63"/>
      <c r="CJ22" s="63"/>
      <c r="CK22" s="63"/>
      <c r="CL22" s="63"/>
      <c r="CM22" s="63"/>
      <c r="CN22" s="63"/>
      <c r="CO22" s="63"/>
      <c r="CP22" s="63"/>
      <c r="CQ22" s="63"/>
      <c r="CR22" s="63"/>
      <c r="CS22" s="63"/>
      <c r="CT22" s="63"/>
      <c r="CU22" s="63"/>
      <c r="CV22" s="63"/>
      <c r="CW22" s="63"/>
      <c r="CX22" s="63"/>
      <c r="CY22" s="63"/>
      <c r="CZ22" s="63"/>
      <c r="DA22" s="63"/>
      <c r="DB22" s="63"/>
      <c r="DC22" s="63"/>
      <c r="DD22" s="63"/>
      <c r="DE22" s="63"/>
      <c r="DF22" s="63"/>
      <c r="DG22" s="63"/>
      <c r="DH22" s="63"/>
      <c r="DI22" s="63"/>
      <c r="DJ22" s="63"/>
      <c r="DK22" s="63"/>
      <c r="DL22" s="63"/>
      <c r="DM22" s="63"/>
      <c r="DN22" s="63"/>
      <c r="DO22" s="63"/>
      <c r="DP22" s="63"/>
      <c r="DQ22" s="63"/>
      <c r="DR22" s="63"/>
      <c r="DS22" s="63"/>
      <c r="DT22" s="63"/>
      <c r="DU22" s="63"/>
      <c r="DV22" s="63"/>
      <c r="DW22" s="63"/>
      <c r="DX22" s="63"/>
      <c r="DY22" s="63"/>
      <c r="DZ22" s="63"/>
      <c r="EA22" s="63"/>
      <c r="EB22" s="63"/>
      <c r="EC22" s="63"/>
      <c r="ED22" s="63"/>
      <c r="EE22" s="63"/>
      <c r="EF22" s="63"/>
      <c r="EG22" s="63"/>
      <c r="EH22" s="63"/>
      <c r="EI22" s="63"/>
      <c r="EJ22" s="63"/>
      <c r="EK22" s="63"/>
      <c r="EL22" s="63"/>
      <c r="EM22" s="63"/>
      <c r="EN22" s="63"/>
      <c r="EO22" s="63"/>
      <c r="EP22" s="63"/>
      <c r="EQ22" s="63"/>
      <c r="ER22" s="63"/>
      <c r="ES22" s="63"/>
      <c r="ET22" s="63"/>
      <c r="EU22" s="63"/>
      <c r="EV22" s="63"/>
      <c r="EW22" s="63"/>
      <c r="EX22" s="63"/>
      <c r="EY22" s="63"/>
      <c r="EZ22" s="63"/>
      <c r="FA22" s="63"/>
      <c r="FB22" s="63"/>
      <c r="FC22" s="63"/>
      <c r="FD22" s="63"/>
      <c r="FE22" s="63"/>
      <c r="FF22" s="63"/>
      <c r="FG22" s="63"/>
      <c r="FH22" s="63"/>
      <c r="FI22" s="63"/>
      <c r="FJ22" s="63"/>
      <c r="FK22" s="63"/>
      <c r="FL22" s="63"/>
    </row>
    <row r="23" spans="1:168" x14ac:dyDescent="0.25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  <c r="BM23" s="63"/>
      <c r="BN23" s="63"/>
      <c r="BO23" s="63"/>
      <c r="BP23" s="63"/>
      <c r="BQ23" s="63"/>
      <c r="BR23" s="63"/>
      <c r="BS23" s="63"/>
      <c r="BT23" s="63"/>
      <c r="BU23" s="63"/>
      <c r="BV23" s="63"/>
      <c r="BW23" s="63"/>
      <c r="BX23" s="63"/>
      <c r="BY23" s="63"/>
      <c r="BZ23" s="63"/>
      <c r="CA23" s="63"/>
      <c r="CB23" s="63"/>
      <c r="CC23" s="63"/>
      <c r="CD23" s="63"/>
      <c r="CE23" s="63"/>
      <c r="CF23" s="63"/>
      <c r="CG23" s="63"/>
      <c r="CH23" s="63"/>
      <c r="CI23" s="63"/>
      <c r="CJ23" s="63"/>
      <c r="CK23" s="63"/>
      <c r="CL23" s="63"/>
      <c r="CM23" s="63"/>
      <c r="CN23" s="63"/>
      <c r="CO23" s="63"/>
      <c r="CP23" s="63"/>
      <c r="CQ23" s="63"/>
      <c r="CR23" s="63"/>
      <c r="CS23" s="63"/>
      <c r="CT23" s="63"/>
      <c r="CU23" s="63"/>
      <c r="CV23" s="63"/>
      <c r="CW23" s="63"/>
      <c r="CX23" s="63"/>
      <c r="CY23" s="63"/>
      <c r="CZ23" s="63"/>
      <c r="DA23" s="63"/>
      <c r="DB23" s="63"/>
      <c r="DC23" s="63"/>
      <c r="DD23" s="63"/>
      <c r="DE23" s="63"/>
      <c r="DF23" s="63"/>
      <c r="DG23" s="63"/>
      <c r="DH23" s="63"/>
      <c r="DI23" s="63"/>
      <c r="DJ23" s="63"/>
      <c r="DK23" s="63"/>
      <c r="DL23" s="63"/>
      <c r="DM23" s="63"/>
      <c r="DN23" s="63"/>
      <c r="DO23" s="63"/>
      <c r="DP23" s="63"/>
      <c r="DQ23" s="63"/>
      <c r="DR23" s="63"/>
      <c r="DS23" s="63"/>
      <c r="DT23" s="63"/>
      <c r="DU23" s="63"/>
      <c r="DV23" s="63"/>
      <c r="DW23" s="63"/>
      <c r="DX23" s="63"/>
      <c r="DY23" s="63"/>
      <c r="DZ23" s="63"/>
      <c r="EA23" s="63"/>
      <c r="EB23" s="63"/>
      <c r="EC23" s="63"/>
      <c r="ED23" s="63"/>
      <c r="EE23" s="63"/>
      <c r="EF23" s="63"/>
      <c r="EG23" s="63"/>
      <c r="EH23" s="63"/>
      <c r="EI23" s="63"/>
      <c r="EJ23" s="63"/>
      <c r="EK23" s="63"/>
      <c r="EL23" s="63"/>
      <c r="EM23" s="63"/>
      <c r="EN23" s="63"/>
      <c r="EO23" s="63"/>
      <c r="EP23" s="63"/>
      <c r="EQ23" s="63"/>
      <c r="ER23" s="63"/>
      <c r="ES23" s="63"/>
      <c r="ET23" s="63"/>
      <c r="EU23" s="63"/>
      <c r="EV23" s="63"/>
      <c r="EW23" s="63"/>
      <c r="EX23" s="63"/>
      <c r="EY23" s="63"/>
      <c r="EZ23" s="63"/>
      <c r="FA23" s="63"/>
      <c r="FB23" s="63"/>
      <c r="FC23" s="63"/>
      <c r="FD23" s="63"/>
      <c r="FE23" s="63"/>
      <c r="FF23" s="63"/>
      <c r="FG23" s="63"/>
      <c r="FH23" s="63"/>
      <c r="FI23" s="63"/>
      <c r="FJ23" s="63"/>
      <c r="FK23" s="63"/>
      <c r="FL23" s="63"/>
    </row>
    <row r="24" spans="1:168" x14ac:dyDescent="0.25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3"/>
      <c r="BV24" s="63"/>
      <c r="BW24" s="63"/>
      <c r="BX24" s="63"/>
      <c r="BY24" s="63"/>
      <c r="BZ24" s="63"/>
      <c r="CA24" s="63"/>
      <c r="CB24" s="63"/>
      <c r="CC24" s="63"/>
      <c r="CD24" s="63"/>
      <c r="CE24" s="63"/>
      <c r="CF24" s="63"/>
      <c r="CG24" s="63"/>
      <c r="CH24" s="63"/>
      <c r="CI24" s="63"/>
      <c r="CJ24" s="63"/>
      <c r="CK24" s="63"/>
      <c r="CL24" s="63"/>
      <c r="CM24" s="63"/>
      <c r="CN24" s="63"/>
      <c r="CO24" s="63"/>
      <c r="CP24" s="63"/>
      <c r="CQ24" s="63"/>
      <c r="CR24" s="63"/>
      <c r="CS24" s="63"/>
      <c r="CT24" s="63"/>
      <c r="CU24" s="63"/>
      <c r="CV24" s="63"/>
      <c r="CW24" s="63"/>
      <c r="CX24" s="63"/>
      <c r="CY24" s="63"/>
      <c r="CZ24" s="63"/>
      <c r="DA24" s="63"/>
      <c r="DB24" s="63"/>
      <c r="DC24" s="63"/>
      <c r="DD24" s="63"/>
      <c r="DE24" s="63"/>
      <c r="DF24" s="63"/>
      <c r="DG24" s="63"/>
      <c r="DH24" s="63"/>
      <c r="DI24" s="63"/>
      <c r="DJ24" s="63"/>
      <c r="DK24" s="63"/>
      <c r="DL24" s="63"/>
      <c r="DM24" s="63"/>
      <c r="DN24" s="63"/>
      <c r="DO24" s="63"/>
      <c r="DP24" s="63"/>
      <c r="DQ24" s="63"/>
      <c r="DR24" s="63"/>
      <c r="DS24" s="63"/>
      <c r="DT24" s="63"/>
      <c r="DU24" s="63"/>
      <c r="DV24" s="63"/>
      <c r="DW24" s="63"/>
      <c r="DX24" s="63"/>
      <c r="DY24" s="63"/>
      <c r="DZ24" s="63"/>
      <c r="EA24" s="63"/>
      <c r="EB24" s="63"/>
      <c r="EC24" s="63"/>
      <c r="ED24" s="63"/>
      <c r="EE24" s="63"/>
      <c r="EF24" s="63"/>
      <c r="EG24" s="63"/>
      <c r="EH24" s="63"/>
      <c r="EI24" s="63"/>
      <c r="EJ24" s="63"/>
      <c r="EK24" s="63"/>
      <c r="EL24" s="63"/>
      <c r="EM24" s="63"/>
      <c r="EN24" s="63"/>
      <c r="EO24" s="63"/>
      <c r="EP24" s="63"/>
      <c r="EQ24" s="63"/>
      <c r="ER24" s="63"/>
      <c r="ES24" s="63"/>
      <c r="ET24" s="63"/>
      <c r="EU24" s="63"/>
      <c r="EV24" s="63"/>
      <c r="EW24" s="63"/>
      <c r="EX24" s="63"/>
      <c r="EY24" s="63"/>
      <c r="EZ24" s="63"/>
      <c r="FA24" s="63"/>
      <c r="FB24" s="63"/>
      <c r="FC24" s="63"/>
      <c r="FD24" s="63"/>
      <c r="FE24" s="63"/>
      <c r="FF24" s="63"/>
      <c r="FG24" s="63"/>
      <c r="FH24" s="63"/>
      <c r="FI24" s="63"/>
      <c r="FJ24" s="63"/>
      <c r="FK24" s="63"/>
      <c r="FL24" s="63"/>
    </row>
    <row r="25" spans="1:168" x14ac:dyDescent="0.2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  <c r="CA25" s="63"/>
      <c r="CB25" s="63"/>
      <c r="CC25" s="63"/>
      <c r="CD25" s="63"/>
      <c r="CE25" s="63"/>
      <c r="CF25" s="63"/>
      <c r="CG25" s="63"/>
      <c r="CH25" s="63"/>
      <c r="CI25" s="63"/>
      <c r="CJ25" s="63"/>
      <c r="CK25" s="63"/>
      <c r="CL25" s="63"/>
      <c r="CM25" s="63"/>
      <c r="CN25" s="63"/>
      <c r="CO25" s="63"/>
      <c r="CP25" s="63"/>
      <c r="CQ25" s="63"/>
      <c r="CR25" s="63"/>
      <c r="CS25" s="63"/>
      <c r="CT25" s="63"/>
      <c r="CU25" s="63"/>
      <c r="CV25" s="63"/>
      <c r="CW25" s="63"/>
      <c r="CX25" s="63"/>
      <c r="CY25" s="63"/>
      <c r="CZ25" s="63"/>
      <c r="DA25" s="63"/>
      <c r="DB25" s="63"/>
      <c r="DC25" s="63"/>
      <c r="DD25" s="63"/>
      <c r="DE25" s="63"/>
      <c r="DF25" s="63"/>
      <c r="DG25" s="63"/>
      <c r="DH25" s="63"/>
      <c r="DI25" s="63"/>
      <c r="DJ25" s="63"/>
      <c r="DK25" s="63"/>
      <c r="DL25" s="63"/>
      <c r="DM25" s="63"/>
      <c r="DN25" s="63"/>
      <c r="DO25" s="63"/>
      <c r="DP25" s="63"/>
      <c r="DQ25" s="63"/>
      <c r="DR25" s="63"/>
      <c r="DS25" s="63"/>
      <c r="DT25" s="63"/>
      <c r="DU25" s="63"/>
      <c r="DV25" s="63"/>
      <c r="DW25" s="63"/>
      <c r="DX25" s="63"/>
      <c r="DY25" s="63"/>
      <c r="DZ25" s="63"/>
      <c r="EA25" s="63"/>
      <c r="EB25" s="63"/>
      <c r="EC25" s="63"/>
      <c r="ED25" s="63"/>
      <c r="EE25" s="63"/>
      <c r="EF25" s="63"/>
      <c r="EG25" s="63"/>
      <c r="EH25" s="63"/>
      <c r="EI25" s="63"/>
      <c r="EJ25" s="63"/>
      <c r="EK25" s="63"/>
      <c r="EL25" s="63"/>
      <c r="EM25" s="63"/>
      <c r="EN25" s="63"/>
      <c r="EO25" s="63"/>
      <c r="EP25" s="63"/>
      <c r="EQ25" s="63"/>
      <c r="ER25" s="63"/>
      <c r="ES25" s="63"/>
      <c r="ET25" s="63"/>
      <c r="EU25" s="63"/>
      <c r="EV25" s="63"/>
      <c r="EW25" s="63"/>
      <c r="EX25" s="63"/>
      <c r="EY25" s="63"/>
      <c r="EZ25" s="63"/>
      <c r="FA25" s="63"/>
      <c r="FB25" s="63"/>
      <c r="FC25" s="63"/>
      <c r="FD25" s="63"/>
      <c r="FE25" s="63"/>
      <c r="FF25" s="63"/>
      <c r="FG25" s="63"/>
      <c r="FH25" s="63"/>
      <c r="FI25" s="63"/>
      <c r="FJ25" s="63"/>
      <c r="FK25" s="63"/>
      <c r="FL25" s="63"/>
    </row>
    <row r="26" spans="1:168" x14ac:dyDescent="0.25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  <c r="CD26" s="63"/>
      <c r="CE26" s="63"/>
      <c r="CF26" s="63"/>
      <c r="CG26" s="63"/>
      <c r="CH26" s="63"/>
      <c r="CI26" s="63"/>
      <c r="CJ26" s="63"/>
      <c r="CK26" s="63"/>
      <c r="CL26" s="63"/>
      <c r="CM26" s="63"/>
      <c r="CN26" s="63"/>
      <c r="CO26" s="63"/>
      <c r="CP26" s="63"/>
      <c r="CQ26" s="63"/>
      <c r="CR26" s="63"/>
      <c r="CS26" s="63"/>
      <c r="CT26" s="63"/>
      <c r="CU26" s="63"/>
      <c r="CV26" s="63"/>
      <c r="CW26" s="63"/>
      <c r="CX26" s="63"/>
      <c r="CY26" s="63"/>
      <c r="CZ26" s="63"/>
      <c r="DA26" s="63"/>
      <c r="DB26" s="63"/>
      <c r="DC26" s="63"/>
      <c r="DD26" s="63"/>
      <c r="DE26" s="63"/>
      <c r="DF26" s="63"/>
      <c r="DG26" s="63"/>
      <c r="DH26" s="63"/>
      <c r="DI26" s="63"/>
      <c r="DJ26" s="63"/>
      <c r="DK26" s="63"/>
      <c r="DL26" s="63"/>
      <c r="DM26" s="63"/>
      <c r="DN26" s="63"/>
      <c r="DO26" s="63"/>
      <c r="DP26" s="63"/>
      <c r="DQ26" s="63"/>
      <c r="DR26" s="63"/>
      <c r="DS26" s="63"/>
      <c r="DT26" s="63"/>
      <c r="DU26" s="63"/>
      <c r="DV26" s="63"/>
      <c r="DW26" s="63"/>
      <c r="DX26" s="63"/>
      <c r="DY26" s="63"/>
      <c r="DZ26" s="63"/>
      <c r="EA26" s="63"/>
      <c r="EB26" s="63"/>
      <c r="EC26" s="63"/>
      <c r="ED26" s="63"/>
      <c r="EE26" s="63"/>
      <c r="EF26" s="63"/>
      <c r="EG26" s="63"/>
      <c r="EH26" s="63"/>
      <c r="EI26" s="63"/>
      <c r="EJ26" s="63"/>
      <c r="EK26" s="63"/>
      <c r="EL26" s="63"/>
      <c r="EM26" s="63"/>
      <c r="EN26" s="63"/>
      <c r="EO26" s="63"/>
      <c r="EP26" s="63"/>
      <c r="EQ26" s="63"/>
      <c r="ER26" s="63"/>
      <c r="ES26" s="63"/>
      <c r="ET26" s="63"/>
      <c r="EU26" s="63"/>
      <c r="EV26" s="63"/>
      <c r="EW26" s="63"/>
      <c r="EX26" s="63"/>
      <c r="EY26" s="63"/>
      <c r="EZ26" s="63"/>
      <c r="FA26" s="63"/>
      <c r="FB26" s="63"/>
      <c r="FC26" s="63"/>
      <c r="FD26" s="63"/>
      <c r="FE26" s="63"/>
      <c r="FF26" s="63"/>
      <c r="FG26" s="63"/>
      <c r="FH26" s="63"/>
      <c r="FI26" s="63"/>
      <c r="FJ26" s="63"/>
      <c r="FK26" s="63"/>
      <c r="FL26" s="63"/>
    </row>
    <row r="27" spans="1:168" x14ac:dyDescent="0.25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3"/>
      <c r="BK27" s="63"/>
      <c r="BL27" s="63"/>
      <c r="BM27" s="63"/>
      <c r="BN27" s="63"/>
      <c r="BO27" s="63"/>
      <c r="BP27" s="63"/>
      <c r="BQ27" s="63"/>
      <c r="BR27" s="63"/>
      <c r="BS27" s="63"/>
      <c r="BT27" s="63"/>
      <c r="BU27" s="63"/>
      <c r="BV27" s="63"/>
      <c r="BW27" s="63"/>
      <c r="BX27" s="63"/>
      <c r="BY27" s="63"/>
      <c r="BZ27" s="63"/>
      <c r="CA27" s="63"/>
      <c r="CB27" s="63"/>
      <c r="CC27" s="63"/>
      <c r="CD27" s="63"/>
      <c r="CE27" s="63"/>
      <c r="CF27" s="63"/>
      <c r="CG27" s="63"/>
      <c r="CH27" s="63"/>
      <c r="CI27" s="63"/>
      <c r="CJ27" s="63"/>
      <c r="CK27" s="63"/>
      <c r="CL27" s="63"/>
      <c r="CM27" s="63"/>
      <c r="CN27" s="63"/>
      <c r="CO27" s="63"/>
      <c r="CP27" s="63"/>
      <c r="CQ27" s="63"/>
      <c r="CR27" s="63"/>
      <c r="CS27" s="63"/>
      <c r="CT27" s="63"/>
      <c r="CU27" s="63"/>
      <c r="CV27" s="63"/>
      <c r="CW27" s="63"/>
      <c r="CX27" s="63"/>
      <c r="CY27" s="63"/>
      <c r="CZ27" s="63"/>
      <c r="DA27" s="63"/>
      <c r="DB27" s="63"/>
      <c r="DC27" s="63"/>
      <c r="DD27" s="63"/>
      <c r="DE27" s="63"/>
      <c r="DF27" s="63"/>
      <c r="DG27" s="63"/>
      <c r="DH27" s="63"/>
      <c r="DI27" s="63"/>
      <c r="DJ27" s="63"/>
      <c r="DK27" s="63"/>
      <c r="DL27" s="63"/>
      <c r="DM27" s="63"/>
      <c r="DN27" s="63"/>
      <c r="DO27" s="63"/>
      <c r="DP27" s="63"/>
      <c r="DQ27" s="63"/>
      <c r="DR27" s="63"/>
      <c r="DS27" s="63"/>
      <c r="DT27" s="63"/>
      <c r="DU27" s="63"/>
      <c r="DV27" s="63"/>
      <c r="DW27" s="63"/>
      <c r="DX27" s="63"/>
      <c r="DY27" s="63"/>
      <c r="DZ27" s="63"/>
      <c r="EA27" s="63"/>
      <c r="EB27" s="63"/>
      <c r="EC27" s="63"/>
      <c r="ED27" s="63"/>
      <c r="EE27" s="63"/>
      <c r="EF27" s="63"/>
      <c r="EG27" s="63"/>
      <c r="EH27" s="63"/>
      <c r="EI27" s="63"/>
      <c r="EJ27" s="63"/>
      <c r="EK27" s="63"/>
      <c r="EL27" s="63"/>
      <c r="EM27" s="63"/>
      <c r="EN27" s="63"/>
      <c r="EO27" s="63"/>
      <c r="EP27" s="63"/>
      <c r="EQ27" s="63"/>
      <c r="ER27" s="63"/>
      <c r="ES27" s="63"/>
      <c r="ET27" s="63"/>
      <c r="EU27" s="63"/>
      <c r="EV27" s="63"/>
      <c r="EW27" s="63"/>
      <c r="EX27" s="63"/>
      <c r="EY27" s="63"/>
      <c r="EZ27" s="63"/>
      <c r="FA27" s="63"/>
      <c r="FB27" s="63"/>
      <c r="FC27" s="63"/>
      <c r="FD27" s="63"/>
      <c r="FE27" s="63"/>
      <c r="FF27" s="63"/>
      <c r="FG27" s="63"/>
      <c r="FH27" s="63"/>
      <c r="FI27" s="63"/>
      <c r="FJ27" s="63"/>
      <c r="FK27" s="63"/>
      <c r="FL27" s="63"/>
    </row>
    <row r="28" spans="1:168" ht="14.45" customHeight="1" x14ac:dyDescent="0.25">
      <c r="A28" s="63"/>
      <c r="B28" s="133" t="s">
        <v>2</v>
      </c>
      <c r="C28" s="133"/>
      <c r="D28" s="133"/>
      <c r="E28" s="133"/>
      <c r="F28" s="133"/>
      <c r="G28" s="133"/>
      <c r="H28" s="13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/>
      <c r="BU28" s="63"/>
      <c r="BV28" s="63"/>
      <c r="BW28" s="63"/>
      <c r="BX28" s="63"/>
      <c r="BY28" s="63"/>
      <c r="BZ28" s="63"/>
      <c r="CA28" s="63"/>
      <c r="CB28" s="63"/>
      <c r="CC28" s="63"/>
      <c r="CD28" s="63"/>
      <c r="CE28" s="63"/>
      <c r="CF28" s="63"/>
      <c r="CG28" s="63"/>
      <c r="CH28" s="63"/>
      <c r="CI28" s="63"/>
      <c r="CJ28" s="63"/>
      <c r="CK28" s="63"/>
      <c r="CL28" s="63"/>
      <c r="CM28" s="63"/>
      <c r="CN28" s="63"/>
      <c r="CO28" s="63"/>
      <c r="CP28" s="63"/>
      <c r="CQ28" s="63"/>
      <c r="CR28" s="63"/>
      <c r="CS28" s="63"/>
      <c r="CT28" s="63"/>
      <c r="CU28" s="63"/>
      <c r="CV28" s="63"/>
      <c r="CW28" s="63"/>
      <c r="CX28" s="63"/>
      <c r="CY28" s="63"/>
      <c r="CZ28" s="63"/>
      <c r="DA28" s="63"/>
      <c r="DB28" s="63"/>
      <c r="DC28" s="63"/>
      <c r="DD28" s="63"/>
      <c r="DE28" s="63"/>
      <c r="DF28" s="63"/>
      <c r="DG28" s="63"/>
      <c r="DH28" s="63"/>
      <c r="DI28" s="63"/>
      <c r="DJ28" s="63"/>
      <c r="DK28" s="63"/>
      <c r="DL28" s="63"/>
      <c r="DM28" s="63"/>
      <c r="DN28" s="63"/>
      <c r="DO28" s="63"/>
      <c r="DP28" s="63"/>
      <c r="DQ28" s="63"/>
      <c r="DR28" s="63"/>
      <c r="DS28" s="63"/>
      <c r="DT28" s="63"/>
      <c r="DU28" s="63"/>
      <c r="DV28" s="63"/>
      <c r="DW28" s="63"/>
      <c r="DX28" s="63"/>
      <c r="DY28" s="63"/>
      <c r="DZ28" s="63"/>
      <c r="EA28" s="63"/>
      <c r="EB28" s="63"/>
      <c r="EC28" s="63"/>
      <c r="ED28" s="63"/>
      <c r="EE28" s="63"/>
      <c r="EF28" s="63"/>
      <c r="EG28" s="63"/>
      <c r="EH28" s="63"/>
      <c r="EI28" s="63"/>
      <c r="EJ28" s="63"/>
      <c r="EK28" s="63"/>
      <c r="EL28" s="63"/>
      <c r="EM28" s="63"/>
      <c r="EN28" s="63"/>
      <c r="EO28" s="63"/>
      <c r="EP28" s="63"/>
      <c r="EQ28" s="63"/>
      <c r="ER28" s="63"/>
      <c r="ES28" s="63"/>
      <c r="ET28" s="63"/>
      <c r="EU28" s="63"/>
      <c r="EV28" s="63"/>
      <c r="EW28" s="63"/>
      <c r="EX28" s="63"/>
      <c r="EY28" s="63"/>
      <c r="EZ28" s="63"/>
      <c r="FA28" s="63"/>
      <c r="FB28" s="63"/>
      <c r="FC28" s="63"/>
      <c r="FD28" s="63"/>
      <c r="FE28" s="63"/>
      <c r="FF28" s="63"/>
      <c r="FG28" s="63"/>
      <c r="FH28" s="63"/>
      <c r="FI28" s="63"/>
      <c r="FJ28" s="63"/>
      <c r="FK28" s="63"/>
      <c r="FL28" s="63"/>
    </row>
    <row r="29" spans="1:168" ht="14.45" customHeight="1" x14ac:dyDescent="0.25">
      <c r="A29" s="63"/>
      <c r="B29" s="133"/>
      <c r="C29" s="133"/>
      <c r="D29" s="133"/>
      <c r="E29" s="133"/>
      <c r="F29" s="133"/>
      <c r="G29" s="133"/>
      <c r="H29" s="13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3"/>
      <c r="BV29" s="63"/>
      <c r="BW29" s="63"/>
      <c r="BX29" s="63"/>
      <c r="BY29" s="63"/>
      <c r="BZ29" s="63"/>
      <c r="CA29" s="63"/>
      <c r="CB29" s="63"/>
      <c r="CC29" s="63"/>
      <c r="CD29" s="63"/>
      <c r="CE29" s="63"/>
      <c r="CF29" s="63"/>
      <c r="CG29" s="63"/>
      <c r="CH29" s="63"/>
      <c r="CI29" s="63"/>
      <c r="CJ29" s="63"/>
      <c r="CK29" s="63"/>
      <c r="CL29" s="63"/>
      <c r="CM29" s="63"/>
      <c r="CN29" s="63"/>
      <c r="CO29" s="63"/>
      <c r="CP29" s="63"/>
      <c r="CQ29" s="63"/>
      <c r="CR29" s="63"/>
      <c r="CS29" s="63"/>
      <c r="CT29" s="63"/>
      <c r="CU29" s="63"/>
      <c r="CV29" s="63"/>
      <c r="CW29" s="63"/>
      <c r="CX29" s="63"/>
      <c r="CY29" s="63"/>
      <c r="CZ29" s="63"/>
      <c r="DA29" s="63"/>
      <c r="DB29" s="63"/>
      <c r="DC29" s="63"/>
      <c r="DD29" s="63"/>
      <c r="DE29" s="63"/>
      <c r="DF29" s="63"/>
      <c r="DG29" s="63"/>
      <c r="DH29" s="63"/>
      <c r="DI29" s="63"/>
      <c r="DJ29" s="63"/>
      <c r="DK29" s="63"/>
      <c r="DL29" s="63"/>
      <c r="DM29" s="63"/>
      <c r="DN29" s="63"/>
      <c r="DO29" s="63"/>
      <c r="DP29" s="63"/>
      <c r="DQ29" s="63"/>
      <c r="DR29" s="63"/>
      <c r="DS29" s="63"/>
      <c r="DT29" s="63"/>
      <c r="DU29" s="63"/>
      <c r="DV29" s="63"/>
      <c r="DW29" s="63"/>
      <c r="DX29" s="63"/>
      <c r="DY29" s="63"/>
      <c r="DZ29" s="63"/>
      <c r="EA29" s="63"/>
      <c r="EB29" s="63"/>
      <c r="EC29" s="63"/>
      <c r="ED29" s="63"/>
      <c r="EE29" s="63"/>
      <c r="EF29" s="63"/>
      <c r="EG29" s="63"/>
      <c r="EH29" s="63"/>
      <c r="EI29" s="63"/>
      <c r="EJ29" s="63"/>
      <c r="EK29" s="63"/>
      <c r="EL29" s="63"/>
      <c r="EM29" s="63"/>
      <c r="EN29" s="63"/>
      <c r="EO29" s="63"/>
      <c r="EP29" s="63"/>
      <c r="EQ29" s="63"/>
      <c r="ER29" s="63"/>
      <c r="ES29" s="63"/>
      <c r="ET29" s="63"/>
      <c r="EU29" s="63"/>
      <c r="EV29" s="63"/>
      <c r="EW29" s="63"/>
      <c r="EX29" s="63"/>
      <c r="EY29" s="63"/>
      <c r="EZ29" s="63"/>
      <c r="FA29" s="63"/>
      <c r="FB29" s="63"/>
      <c r="FC29" s="63"/>
      <c r="FD29" s="63"/>
      <c r="FE29" s="63"/>
      <c r="FF29" s="63"/>
      <c r="FG29" s="63"/>
      <c r="FH29" s="63"/>
      <c r="FI29" s="63"/>
      <c r="FJ29" s="63"/>
      <c r="FK29" s="63"/>
      <c r="FL29" s="63"/>
    </row>
    <row r="30" spans="1:168" ht="14.45" customHeight="1" x14ac:dyDescent="0.25">
      <c r="A30" s="63"/>
      <c r="B30" s="133"/>
      <c r="C30" s="133"/>
      <c r="D30" s="133"/>
      <c r="E30" s="133"/>
      <c r="F30" s="133"/>
      <c r="G30" s="133"/>
      <c r="H30" s="13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O30" s="63"/>
      <c r="BP30" s="63"/>
      <c r="BQ30" s="63"/>
      <c r="BR30" s="63"/>
      <c r="BS30" s="63"/>
      <c r="BT30" s="63"/>
      <c r="BU30" s="63"/>
      <c r="BV30" s="63"/>
      <c r="BW30" s="63"/>
      <c r="BX30" s="63"/>
      <c r="BY30" s="63"/>
      <c r="BZ30" s="63"/>
      <c r="CA30" s="63"/>
      <c r="CB30" s="63"/>
      <c r="CC30" s="63"/>
      <c r="CD30" s="63"/>
      <c r="CE30" s="63"/>
      <c r="CF30" s="63"/>
      <c r="CG30" s="63"/>
      <c r="CH30" s="63"/>
      <c r="CI30" s="63"/>
      <c r="CJ30" s="63"/>
      <c r="CK30" s="63"/>
      <c r="CL30" s="63"/>
      <c r="CM30" s="63"/>
      <c r="CN30" s="63"/>
      <c r="CO30" s="63"/>
      <c r="CP30" s="63"/>
      <c r="CQ30" s="63"/>
      <c r="CR30" s="63"/>
      <c r="CS30" s="63"/>
      <c r="CT30" s="63"/>
      <c r="CU30" s="63"/>
      <c r="CV30" s="63"/>
      <c r="CW30" s="63"/>
      <c r="CX30" s="63"/>
      <c r="CY30" s="63"/>
      <c r="CZ30" s="63"/>
      <c r="DA30" s="63"/>
      <c r="DB30" s="63"/>
      <c r="DC30" s="63"/>
      <c r="DD30" s="63"/>
      <c r="DE30" s="63"/>
      <c r="DF30" s="63"/>
      <c r="DG30" s="63"/>
      <c r="DH30" s="63"/>
      <c r="DI30" s="63"/>
      <c r="DJ30" s="63"/>
      <c r="DK30" s="63"/>
      <c r="DL30" s="63"/>
      <c r="DM30" s="63"/>
      <c r="DN30" s="63"/>
      <c r="DO30" s="63"/>
      <c r="DP30" s="63"/>
      <c r="DQ30" s="63"/>
      <c r="DR30" s="63"/>
      <c r="DS30" s="63"/>
      <c r="DT30" s="63"/>
      <c r="DU30" s="63"/>
      <c r="DV30" s="63"/>
      <c r="DW30" s="63"/>
      <c r="DX30" s="63"/>
      <c r="DY30" s="63"/>
      <c r="DZ30" s="63"/>
      <c r="EA30" s="63"/>
      <c r="EB30" s="63"/>
      <c r="EC30" s="63"/>
      <c r="ED30" s="63"/>
      <c r="EE30" s="63"/>
      <c r="EF30" s="63"/>
      <c r="EG30" s="63"/>
      <c r="EH30" s="63"/>
      <c r="EI30" s="63"/>
      <c r="EJ30" s="63"/>
      <c r="EK30" s="63"/>
      <c r="EL30" s="63"/>
      <c r="EM30" s="63"/>
      <c r="EN30" s="63"/>
      <c r="EO30" s="63"/>
      <c r="EP30" s="63"/>
      <c r="EQ30" s="63"/>
      <c r="ER30" s="63"/>
      <c r="ES30" s="63"/>
      <c r="ET30" s="63"/>
      <c r="EU30" s="63"/>
      <c r="EV30" s="63"/>
      <c r="EW30" s="63"/>
      <c r="EX30" s="63"/>
      <c r="EY30" s="63"/>
      <c r="EZ30" s="63"/>
      <c r="FA30" s="63"/>
      <c r="FB30" s="63"/>
      <c r="FC30" s="63"/>
      <c r="FD30" s="63"/>
      <c r="FE30" s="63"/>
      <c r="FF30" s="63"/>
      <c r="FG30" s="63"/>
      <c r="FH30" s="63"/>
      <c r="FI30" s="63"/>
      <c r="FJ30" s="63"/>
      <c r="FK30" s="63"/>
      <c r="FL30" s="63"/>
    </row>
    <row r="31" spans="1:168" ht="14.45" customHeight="1" x14ac:dyDescent="0.25">
      <c r="A31" s="63"/>
      <c r="B31" s="133"/>
      <c r="C31" s="133"/>
      <c r="D31" s="133"/>
      <c r="E31" s="133"/>
      <c r="F31" s="133"/>
      <c r="G31" s="133"/>
      <c r="H31" s="13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3"/>
      <c r="BV31" s="63"/>
      <c r="BW31" s="63"/>
      <c r="BX31" s="63"/>
      <c r="BY31" s="63"/>
      <c r="BZ31" s="63"/>
      <c r="CA31" s="63"/>
      <c r="CB31" s="63"/>
      <c r="CC31" s="63"/>
      <c r="CD31" s="63"/>
      <c r="CE31" s="63"/>
      <c r="CF31" s="63"/>
      <c r="CG31" s="63"/>
      <c r="CH31" s="63"/>
      <c r="CI31" s="63"/>
      <c r="CJ31" s="63"/>
      <c r="CK31" s="63"/>
      <c r="CL31" s="63"/>
      <c r="CM31" s="63"/>
      <c r="CN31" s="63"/>
      <c r="CO31" s="63"/>
      <c r="CP31" s="63"/>
      <c r="CQ31" s="63"/>
      <c r="CR31" s="63"/>
      <c r="CS31" s="63"/>
      <c r="CT31" s="63"/>
      <c r="CU31" s="63"/>
      <c r="CV31" s="63"/>
      <c r="CW31" s="63"/>
      <c r="CX31" s="63"/>
      <c r="CY31" s="63"/>
      <c r="CZ31" s="63"/>
      <c r="DA31" s="63"/>
      <c r="DB31" s="63"/>
      <c r="DC31" s="63"/>
      <c r="DD31" s="63"/>
      <c r="DE31" s="63"/>
      <c r="DF31" s="63"/>
      <c r="DG31" s="63"/>
      <c r="DH31" s="63"/>
      <c r="DI31" s="63"/>
      <c r="DJ31" s="63"/>
      <c r="DK31" s="63"/>
      <c r="DL31" s="63"/>
      <c r="DM31" s="63"/>
      <c r="DN31" s="63"/>
      <c r="DO31" s="63"/>
      <c r="DP31" s="63"/>
      <c r="DQ31" s="63"/>
      <c r="DR31" s="63"/>
      <c r="DS31" s="63"/>
      <c r="DT31" s="63"/>
      <c r="DU31" s="63"/>
      <c r="DV31" s="63"/>
      <c r="DW31" s="63"/>
      <c r="DX31" s="63"/>
      <c r="DY31" s="63"/>
      <c r="DZ31" s="63"/>
      <c r="EA31" s="63"/>
      <c r="EB31" s="63"/>
      <c r="EC31" s="63"/>
      <c r="ED31" s="63"/>
      <c r="EE31" s="63"/>
      <c r="EF31" s="63"/>
      <c r="EG31" s="63"/>
      <c r="EH31" s="63"/>
      <c r="EI31" s="63"/>
      <c r="EJ31" s="63"/>
      <c r="EK31" s="63"/>
      <c r="EL31" s="63"/>
      <c r="EM31" s="63"/>
      <c r="EN31" s="63"/>
      <c r="EO31" s="63"/>
      <c r="EP31" s="63"/>
      <c r="EQ31" s="63"/>
      <c r="ER31" s="63"/>
      <c r="ES31" s="63"/>
      <c r="ET31" s="63"/>
      <c r="EU31" s="63"/>
      <c r="EV31" s="63"/>
      <c r="EW31" s="63"/>
      <c r="EX31" s="63"/>
      <c r="EY31" s="63"/>
      <c r="EZ31" s="63"/>
      <c r="FA31" s="63"/>
      <c r="FB31" s="63"/>
      <c r="FC31" s="63"/>
      <c r="FD31" s="63"/>
      <c r="FE31" s="63"/>
      <c r="FF31" s="63"/>
      <c r="FG31" s="63"/>
      <c r="FH31" s="63"/>
      <c r="FI31" s="63"/>
      <c r="FJ31" s="63"/>
      <c r="FK31" s="63"/>
      <c r="FL31" s="63"/>
    </row>
    <row r="32" spans="1:168" x14ac:dyDescent="0.25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3"/>
      <c r="BK32" s="63"/>
      <c r="BL32" s="63"/>
      <c r="BM32" s="63"/>
      <c r="BN32" s="63"/>
      <c r="BO32" s="63"/>
      <c r="BP32" s="63"/>
      <c r="BQ32" s="63"/>
      <c r="BR32" s="63"/>
      <c r="BS32" s="63"/>
      <c r="BT32" s="63"/>
      <c r="BU32" s="63"/>
      <c r="BV32" s="63"/>
      <c r="BW32" s="63"/>
      <c r="BX32" s="63"/>
      <c r="BY32" s="63"/>
      <c r="BZ32" s="63"/>
      <c r="CA32" s="63"/>
      <c r="CB32" s="63"/>
      <c r="CC32" s="63"/>
      <c r="CD32" s="63"/>
      <c r="CE32" s="63"/>
      <c r="CF32" s="63"/>
      <c r="CG32" s="63"/>
      <c r="CH32" s="63"/>
      <c r="CI32" s="63"/>
      <c r="CJ32" s="63"/>
      <c r="CK32" s="63"/>
      <c r="CL32" s="63"/>
      <c r="CM32" s="63"/>
      <c r="CN32" s="63"/>
      <c r="CO32" s="63"/>
      <c r="CP32" s="63"/>
      <c r="CQ32" s="63"/>
      <c r="CR32" s="63"/>
      <c r="CS32" s="63"/>
      <c r="CT32" s="63"/>
      <c r="CU32" s="63"/>
      <c r="CV32" s="63"/>
      <c r="CW32" s="63"/>
      <c r="CX32" s="63"/>
      <c r="CY32" s="63"/>
      <c r="CZ32" s="63"/>
      <c r="DA32" s="63"/>
      <c r="DB32" s="63"/>
      <c r="DC32" s="63"/>
      <c r="DD32" s="63"/>
      <c r="DE32" s="63"/>
      <c r="DF32" s="63"/>
      <c r="DG32" s="63"/>
      <c r="DH32" s="63"/>
      <c r="DI32" s="63"/>
      <c r="DJ32" s="63"/>
      <c r="DK32" s="63"/>
      <c r="DL32" s="63"/>
      <c r="DM32" s="63"/>
      <c r="DN32" s="63"/>
      <c r="DO32" s="63"/>
      <c r="DP32" s="63"/>
      <c r="DQ32" s="63"/>
      <c r="DR32" s="63"/>
      <c r="DS32" s="63"/>
      <c r="DT32" s="63"/>
      <c r="DU32" s="63"/>
      <c r="DV32" s="63"/>
      <c r="DW32" s="63"/>
      <c r="DX32" s="63"/>
      <c r="DY32" s="63"/>
      <c r="DZ32" s="63"/>
      <c r="EA32" s="63"/>
      <c r="EB32" s="63"/>
      <c r="EC32" s="63"/>
      <c r="ED32" s="63"/>
      <c r="EE32" s="63"/>
      <c r="EF32" s="63"/>
      <c r="EG32" s="63"/>
      <c r="EH32" s="63"/>
      <c r="EI32" s="63"/>
      <c r="EJ32" s="63"/>
      <c r="EK32" s="63"/>
      <c r="EL32" s="63"/>
      <c r="EM32" s="63"/>
      <c r="EN32" s="63"/>
      <c r="EO32" s="63"/>
      <c r="EP32" s="63"/>
      <c r="EQ32" s="63"/>
      <c r="ER32" s="63"/>
      <c r="ES32" s="63"/>
      <c r="ET32" s="63"/>
      <c r="EU32" s="63"/>
      <c r="EV32" s="63"/>
      <c r="EW32" s="63"/>
      <c r="EX32" s="63"/>
      <c r="EY32" s="63"/>
      <c r="EZ32" s="63"/>
      <c r="FA32" s="63"/>
      <c r="FB32" s="63"/>
      <c r="FC32" s="63"/>
      <c r="FD32" s="63"/>
      <c r="FE32" s="63"/>
      <c r="FF32" s="63"/>
      <c r="FG32" s="63"/>
      <c r="FH32" s="63"/>
      <c r="FI32" s="63"/>
      <c r="FJ32" s="63"/>
      <c r="FK32" s="63"/>
      <c r="FL32" s="63"/>
    </row>
    <row r="33" spans="1:168" x14ac:dyDescent="0.25">
      <c r="A33" s="63"/>
      <c r="B33" s="120" t="s">
        <v>3</v>
      </c>
      <c r="C33" s="121"/>
      <c r="D33" s="121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3"/>
      <c r="BV33" s="63"/>
      <c r="BW33" s="63"/>
      <c r="BX33" s="63"/>
      <c r="BY33" s="63"/>
      <c r="BZ33" s="63"/>
      <c r="CA33" s="63"/>
      <c r="CB33" s="63"/>
      <c r="CC33" s="63"/>
      <c r="CD33" s="63"/>
      <c r="CE33" s="63"/>
      <c r="CF33" s="63"/>
      <c r="CG33" s="63"/>
      <c r="CH33" s="63"/>
      <c r="CI33" s="63"/>
      <c r="CJ33" s="63"/>
      <c r="CK33" s="63"/>
      <c r="CL33" s="63"/>
      <c r="CM33" s="63"/>
      <c r="CN33" s="63"/>
      <c r="CO33" s="63"/>
      <c r="CP33" s="63"/>
      <c r="CQ33" s="63"/>
      <c r="CR33" s="63"/>
      <c r="CS33" s="63"/>
      <c r="CT33" s="63"/>
      <c r="CU33" s="63"/>
      <c r="CV33" s="63"/>
      <c r="CW33" s="63"/>
      <c r="CX33" s="63"/>
      <c r="CY33" s="63"/>
      <c r="CZ33" s="63"/>
      <c r="DA33" s="63"/>
      <c r="DB33" s="63"/>
      <c r="DC33" s="63"/>
      <c r="DD33" s="63"/>
      <c r="DE33" s="63"/>
      <c r="DF33" s="63"/>
      <c r="DG33" s="63"/>
      <c r="DH33" s="63"/>
      <c r="DI33" s="63"/>
      <c r="DJ33" s="63"/>
      <c r="DK33" s="63"/>
      <c r="DL33" s="63"/>
      <c r="DM33" s="63"/>
      <c r="DN33" s="63"/>
      <c r="DO33" s="63"/>
      <c r="DP33" s="63"/>
      <c r="DQ33" s="63"/>
      <c r="DR33" s="63"/>
      <c r="DS33" s="63"/>
      <c r="DT33" s="63"/>
      <c r="DU33" s="63"/>
      <c r="DV33" s="63"/>
      <c r="DW33" s="63"/>
      <c r="DX33" s="63"/>
      <c r="DY33" s="63"/>
      <c r="DZ33" s="63"/>
      <c r="EA33" s="63"/>
      <c r="EB33" s="63"/>
      <c r="EC33" s="63"/>
      <c r="ED33" s="63"/>
      <c r="EE33" s="63"/>
      <c r="EF33" s="63"/>
      <c r="EG33" s="63"/>
      <c r="EH33" s="63"/>
      <c r="EI33" s="63"/>
      <c r="EJ33" s="63"/>
      <c r="EK33" s="63"/>
      <c r="EL33" s="63"/>
      <c r="EM33" s="63"/>
      <c r="EN33" s="63"/>
      <c r="EO33" s="63"/>
      <c r="EP33" s="63"/>
      <c r="EQ33" s="63"/>
      <c r="ER33" s="63"/>
      <c r="ES33" s="63"/>
      <c r="ET33" s="63"/>
      <c r="EU33" s="63"/>
      <c r="EV33" s="63"/>
      <c r="EW33" s="63"/>
      <c r="EX33" s="63"/>
      <c r="EY33" s="63"/>
      <c r="EZ33" s="63"/>
      <c r="FA33" s="63"/>
      <c r="FB33" s="63"/>
      <c r="FC33" s="63"/>
      <c r="FD33" s="63"/>
      <c r="FE33" s="63"/>
      <c r="FF33" s="63"/>
      <c r="FG33" s="63"/>
      <c r="FH33" s="63"/>
      <c r="FI33" s="63"/>
      <c r="FJ33" s="63"/>
      <c r="FK33" s="63"/>
      <c r="FL33" s="63"/>
    </row>
    <row r="34" spans="1:168" x14ac:dyDescent="0.25">
      <c r="A34" s="63"/>
      <c r="B34" s="121"/>
      <c r="C34" s="121"/>
      <c r="D34" s="121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  <c r="BI34" s="63"/>
      <c r="BJ34" s="63"/>
      <c r="BK34" s="63"/>
      <c r="BL34" s="63"/>
      <c r="BM34" s="63"/>
      <c r="BN34" s="63"/>
      <c r="BO34" s="63"/>
      <c r="BP34" s="63"/>
      <c r="BQ34" s="63"/>
      <c r="BR34" s="63"/>
      <c r="BS34" s="63"/>
      <c r="BT34" s="63"/>
      <c r="BU34" s="63"/>
      <c r="BV34" s="63"/>
      <c r="BW34" s="63"/>
      <c r="BX34" s="63"/>
      <c r="BY34" s="63"/>
      <c r="BZ34" s="63"/>
      <c r="CA34" s="63"/>
      <c r="CB34" s="63"/>
      <c r="CC34" s="63"/>
      <c r="CD34" s="63"/>
      <c r="CE34" s="63"/>
      <c r="CF34" s="63"/>
      <c r="CG34" s="63"/>
      <c r="CH34" s="63"/>
      <c r="CI34" s="63"/>
      <c r="CJ34" s="63"/>
      <c r="CK34" s="63"/>
      <c r="CL34" s="63"/>
      <c r="CM34" s="63"/>
      <c r="CN34" s="63"/>
      <c r="CO34" s="63"/>
      <c r="CP34" s="63"/>
      <c r="CQ34" s="63"/>
      <c r="CR34" s="63"/>
      <c r="CS34" s="63"/>
      <c r="CT34" s="63"/>
      <c r="CU34" s="63"/>
      <c r="CV34" s="63"/>
      <c r="CW34" s="63"/>
      <c r="CX34" s="63"/>
      <c r="CY34" s="63"/>
      <c r="CZ34" s="63"/>
      <c r="DA34" s="63"/>
      <c r="DB34" s="63"/>
      <c r="DC34" s="63"/>
      <c r="DD34" s="63"/>
      <c r="DE34" s="63"/>
      <c r="DF34" s="63"/>
      <c r="DG34" s="63"/>
      <c r="DH34" s="63"/>
      <c r="DI34" s="63"/>
      <c r="DJ34" s="63"/>
      <c r="DK34" s="63"/>
      <c r="DL34" s="63"/>
      <c r="DM34" s="63"/>
      <c r="DN34" s="63"/>
      <c r="DO34" s="63"/>
      <c r="DP34" s="63"/>
      <c r="DQ34" s="63"/>
      <c r="DR34" s="63"/>
      <c r="DS34" s="63"/>
      <c r="DT34" s="63"/>
      <c r="DU34" s="63"/>
      <c r="DV34" s="63"/>
      <c r="DW34" s="63"/>
      <c r="DX34" s="63"/>
      <c r="DY34" s="63"/>
      <c r="DZ34" s="63"/>
      <c r="EA34" s="63"/>
      <c r="EB34" s="63"/>
      <c r="EC34" s="63"/>
      <c r="ED34" s="63"/>
      <c r="EE34" s="63"/>
      <c r="EF34" s="63"/>
      <c r="EG34" s="63"/>
      <c r="EH34" s="63"/>
      <c r="EI34" s="63"/>
      <c r="EJ34" s="63"/>
      <c r="EK34" s="63"/>
      <c r="EL34" s="63"/>
      <c r="EM34" s="63"/>
      <c r="EN34" s="63"/>
      <c r="EO34" s="63"/>
      <c r="EP34" s="63"/>
      <c r="EQ34" s="63"/>
      <c r="ER34" s="63"/>
      <c r="ES34" s="63"/>
      <c r="ET34" s="63"/>
      <c r="EU34" s="63"/>
      <c r="EV34" s="63"/>
      <c r="EW34" s="63"/>
      <c r="EX34" s="63"/>
      <c r="EY34" s="63"/>
      <c r="EZ34" s="63"/>
      <c r="FA34" s="63"/>
      <c r="FB34" s="63"/>
      <c r="FC34" s="63"/>
      <c r="FD34" s="63"/>
      <c r="FE34" s="63"/>
      <c r="FF34" s="63"/>
      <c r="FG34" s="63"/>
      <c r="FH34" s="63"/>
      <c r="FI34" s="63"/>
      <c r="FJ34" s="63"/>
      <c r="FK34" s="63"/>
      <c r="FL34" s="63"/>
    </row>
    <row r="35" spans="1:168" x14ac:dyDescent="0.25">
      <c r="A35" s="63"/>
      <c r="B35" s="91"/>
      <c r="C35" s="92"/>
      <c r="D35" s="92"/>
      <c r="E35" s="92"/>
      <c r="F35" s="92"/>
      <c r="G35" s="9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63"/>
      <c r="AR35" s="63"/>
      <c r="AS35" s="63"/>
      <c r="AT35" s="63"/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3"/>
      <c r="BF35" s="63"/>
      <c r="BG35" s="63"/>
      <c r="BH35" s="63"/>
      <c r="BI35" s="63"/>
      <c r="BJ35" s="63"/>
      <c r="BK35" s="63"/>
      <c r="BL35" s="63"/>
      <c r="BM35" s="63"/>
      <c r="BN35" s="63"/>
      <c r="BO35" s="63"/>
      <c r="BP35" s="63"/>
      <c r="BQ35" s="63"/>
      <c r="BR35" s="63"/>
      <c r="BS35" s="63"/>
      <c r="BT35" s="63"/>
      <c r="BU35" s="63"/>
      <c r="BV35" s="63"/>
      <c r="BW35" s="63"/>
      <c r="BX35" s="63"/>
      <c r="BY35" s="63"/>
      <c r="BZ35" s="63"/>
      <c r="CA35" s="63"/>
      <c r="CB35" s="63"/>
      <c r="CC35" s="63"/>
      <c r="CD35" s="63"/>
      <c r="CE35" s="63"/>
      <c r="CF35" s="63"/>
      <c r="CG35" s="63"/>
      <c r="CH35" s="63"/>
      <c r="CI35" s="63"/>
      <c r="CJ35" s="63"/>
      <c r="CK35" s="63"/>
      <c r="CL35" s="63"/>
      <c r="CM35" s="63"/>
      <c r="CN35" s="63"/>
      <c r="CO35" s="63"/>
      <c r="CP35" s="63"/>
      <c r="CQ35" s="63"/>
      <c r="CR35" s="63"/>
      <c r="CS35" s="63"/>
      <c r="CT35" s="63"/>
      <c r="CU35" s="63"/>
      <c r="CV35" s="63"/>
      <c r="CW35" s="63"/>
      <c r="CX35" s="63"/>
      <c r="CY35" s="63"/>
      <c r="CZ35" s="63"/>
      <c r="DA35" s="63"/>
      <c r="DB35" s="63"/>
      <c r="DC35" s="63"/>
      <c r="DD35" s="63"/>
      <c r="DE35" s="63"/>
      <c r="DF35" s="63"/>
      <c r="DG35" s="63"/>
      <c r="DH35" s="63"/>
      <c r="DI35" s="63"/>
      <c r="DJ35" s="63"/>
      <c r="DK35" s="63"/>
      <c r="DL35" s="63"/>
      <c r="DM35" s="63"/>
      <c r="DN35" s="63"/>
      <c r="DO35" s="63"/>
      <c r="DP35" s="63"/>
      <c r="DQ35" s="63"/>
      <c r="DR35" s="63"/>
      <c r="DS35" s="63"/>
      <c r="DT35" s="63"/>
      <c r="DU35" s="63"/>
      <c r="DV35" s="63"/>
      <c r="DW35" s="63"/>
      <c r="DX35" s="63"/>
      <c r="DY35" s="63"/>
      <c r="DZ35" s="63"/>
      <c r="EA35" s="63"/>
      <c r="EB35" s="63"/>
      <c r="EC35" s="63"/>
      <c r="ED35" s="63"/>
      <c r="EE35" s="63"/>
      <c r="EF35" s="63"/>
      <c r="EG35" s="63"/>
      <c r="EH35" s="63"/>
      <c r="EI35" s="63"/>
      <c r="EJ35" s="63"/>
      <c r="EK35" s="63"/>
      <c r="EL35" s="63"/>
      <c r="EM35" s="63"/>
      <c r="EN35" s="63"/>
      <c r="EO35" s="63"/>
      <c r="EP35" s="63"/>
      <c r="EQ35" s="63"/>
      <c r="ER35" s="63"/>
      <c r="ES35" s="63"/>
      <c r="ET35" s="63"/>
      <c r="EU35" s="63"/>
      <c r="EV35" s="63"/>
      <c r="EW35" s="63"/>
      <c r="EX35" s="63"/>
      <c r="EY35" s="63"/>
      <c r="EZ35" s="63"/>
      <c r="FA35" s="63"/>
      <c r="FB35" s="63"/>
      <c r="FC35" s="63"/>
      <c r="FD35" s="63"/>
      <c r="FE35" s="63"/>
      <c r="FF35" s="63"/>
      <c r="FG35" s="63"/>
      <c r="FH35" s="63"/>
      <c r="FI35" s="63"/>
      <c r="FJ35" s="63"/>
      <c r="FK35" s="63"/>
      <c r="FL35" s="63"/>
    </row>
    <row r="36" spans="1:168" x14ac:dyDescent="0.25">
      <c r="A36" s="63"/>
      <c r="B36" s="94" t="s">
        <v>4</v>
      </c>
      <c r="C36" s="95" t="s">
        <v>5</v>
      </c>
      <c r="D36" s="96"/>
      <c r="E36" s="97"/>
      <c r="F36" s="96"/>
      <c r="G36" s="98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  <c r="BT36" s="63"/>
      <c r="BU36" s="63"/>
      <c r="BV36" s="63"/>
      <c r="BW36" s="63"/>
      <c r="BX36" s="63"/>
      <c r="BY36" s="63"/>
      <c r="BZ36" s="63"/>
      <c r="CA36" s="63"/>
      <c r="CB36" s="63"/>
      <c r="CC36" s="63"/>
      <c r="CD36" s="63"/>
      <c r="CE36" s="63"/>
      <c r="CF36" s="63"/>
      <c r="CG36" s="63"/>
      <c r="CH36" s="63"/>
      <c r="CI36" s="63"/>
      <c r="CJ36" s="63"/>
      <c r="CK36" s="63"/>
      <c r="CL36" s="63"/>
      <c r="CM36" s="63"/>
      <c r="CN36" s="63"/>
      <c r="CO36" s="63"/>
      <c r="CP36" s="63"/>
      <c r="CQ36" s="63"/>
      <c r="CR36" s="63"/>
      <c r="CS36" s="63"/>
      <c r="CT36" s="63"/>
      <c r="CU36" s="63"/>
      <c r="CV36" s="63"/>
      <c r="CW36" s="63"/>
      <c r="CX36" s="63"/>
      <c r="CY36" s="63"/>
      <c r="CZ36" s="63"/>
      <c r="DA36" s="63"/>
      <c r="DB36" s="63"/>
      <c r="DC36" s="63"/>
      <c r="DD36" s="63"/>
      <c r="DE36" s="63"/>
      <c r="DF36" s="63"/>
      <c r="DG36" s="63"/>
      <c r="DH36" s="63"/>
      <c r="DI36" s="63"/>
      <c r="DJ36" s="63"/>
      <c r="DK36" s="63"/>
      <c r="DL36" s="63"/>
      <c r="DM36" s="63"/>
      <c r="DN36" s="63"/>
      <c r="DO36" s="63"/>
      <c r="DP36" s="63"/>
      <c r="DQ36" s="63"/>
      <c r="DR36" s="63"/>
      <c r="DS36" s="63"/>
      <c r="DT36" s="63"/>
      <c r="DU36" s="63"/>
      <c r="DV36" s="63"/>
      <c r="DW36" s="63"/>
      <c r="DX36" s="63"/>
      <c r="DY36" s="63"/>
      <c r="DZ36" s="63"/>
      <c r="EA36" s="63"/>
      <c r="EB36" s="63"/>
      <c r="EC36" s="63"/>
      <c r="ED36" s="63"/>
      <c r="EE36" s="63"/>
      <c r="EF36" s="63"/>
      <c r="EG36" s="63"/>
      <c r="EH36" s="63"/>
      <c r="EI36" s="63"/>
      <c r="EJ36" s="63"/>
      <c r="EK36" s="63"/>
      <c r="EL36" s="63"/>
      <c r="EM36" s="63"/>
      <c r="EN36" s="63"/>
      <c r="EO36" s="63"/>
      <c r="EP36" s="63"/>
      <c r="EQ36" s="63"/>
      <c r="ER36" s="63"/>
      <c r="ES36" s="63"/>
      <c r="ET36" s="63"/>
      <c r="EU36" s="63"/>
      <c r="EV36" s="63"/>
      <c r="EW36" s="63"/>
      <c r="EX36" s="63"/>
      <c r="EY36" s="63"/>
      <c r="EZ36" s="63"/>
      <c r="FA36" s="63"/>
      <c r="FB36" s="63"/>
      <c r="FC36" s="63"/>
      <c r="FD36" s="63"/>
      <c r="FE36" s="63"/>
      <c r="FF36" s="63"/>
      <c r="FG36" s="63"/>
      <c r="FH36" s="63"/>
      <c r="FI36" s="63"/>
      <c r="FJ36" s="63"/>
      <c r="FK36" s="63"/>
      <c r="FL36" s="63"/>
    </row>
    <row r="37" spans="1:168" x14ac:dyDescent="0.25">
      <c r="A37" s="63"/>
      <c r="B37" s="99"/>
      <c r="C37" s="96"/>
      <c r="D37" s="96"/>
      <c r="E37" s="96"/>
      <c r="F37" s="96"/>
      <c r="G37" s="98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63"/>
      <c r="AV37" s="63"/>
      <c r="AW37" s="63"/>
      <c r="AX37" s="63"/>
      <c r="AY37" s="63"/>
      <c r="AZ37" s="63"/>
      <c r="BA37" s="63"/>
      <c r="BB37" s="63"/>
      <c r="BC37" s="63"/>
      <c r="BD37" s="63"/>
      <c r="BE37" s="63"/>
      <c r="BF37" s="63"/>
      <c r="BG37" s="63"/>
      <c r="BH37" s="63"/>
      <c r="BI37" s="63"/>
      <c r="BJ37" s="63"/>
      <c r="BK37" s="63"/>
      <c r="BL37" s="63"/>
      <c r="BM37" s="63"/>
      <c r="BN37" s="63"/>
      <c r="BO37" s="63"/>
      <c r="BP37" s="63"/>
      <c r="BQ37" s="63"/>
      <c r="BR37" s="63"/>
      <c r="BS37" s="63"/>
      <c r="BT37" s="63"/>
      <c r="BU37" s="63"/>
      <c r="BV37" s="63"/>
      <c r="BW37" s="63"/>
      <c r="BX37" s="63"/>
      <c r="BY37" s="63"/>
      <c r="BZ37" s="63"/>
      <c r="CA37" s="63"/>
      <c r="CB37" s="63"/>
      <c r="CC37" s="63"/>
      <c r="CD37" s="63"/>
      <c r="CE37" s="63"/>
      <c r="CF37" s="63"/>
      <c r="CG37" s="63"/>
      <c r="CH37" s="63"/>
      <c r="CI37" s="63"/>
      <c r="CJ37" s="63"/>
      <c r="CK37" s="63"/>
      <c r="CL37" s="63"/>
      <c r="CM37" s="63"/>
      <c r="CN37" s="63"/>
      <c r="CO37" s="63"/>
      <c r="CP37" s="63"/>
      <c r="CQ37" s="63"/>
      <c r="CR37" s="63"/>
      <c r="CS37" s="63"/>
      <c r="CT37" s="63"/>
      <c r="CU37" s="63"/>
      <c r="CV37" s="63"/>
      <c r="CW37" s="63"/>
      <c r="CX37" s="63"/>
      <c r="CY37" s="63"/>
      <c r="CZ37" s="63"/>
      <c r="DA37" s="63"/>
      <c r="DB37" s="63"/>
      <c r="DC37" s="63"/>
      <c r="DD37" s="63"/>
      <c r="DE37" s="63"/>
      <c r="DF37" s="63"/>
      <c r="DG37" s="63"/>
      <c r="DH37" s="63"/>
      <c r="DI37" s="63"/>
      <c r="DJ37" s="63"/>
      <c r="DK37" s="63"/>
      <c r="DL37" s="63"/>
      <c r="DM37" s="63"/>
      <c r="DN37" s="63"/>
      <c r="DO37" s="63"/>
      <c r="DP37" s="63"/>
      <c r="DQ37" s="63"/>
      <c r="DR37" s="63"/>
      <c r="DS37" s="63"/>
      <c r="DT37" s="63"/>
      <c r="DU37" s="63"/>
      <c r="DV37" s="63"/>
      <c r="DW37" s="63"/>
      <c r="DX37" s="63"/>
      <c r="DY37" s="63"/>
      <c r="DZ37" s="63"/>
      <c r="EA37" s="63"/>
      <c r="EB37" s="63"/>
      <c r="EC37" s="63"/>
      <c r="ED37" s="63"/>
      <c r="EE37" s="63"/>
      <c r="EF37" s="63"/>
      <c r="EG37" s="63"/>
      <c r="EH37" s="63"/>
      <c r="EI37" s="63"/>
      <c r="EJ37" s="63"/>
      <c r="EK37" s="63"/>
      <c r="EL37" s="63"/>
      <c r="EM37" s="63"/>
      <c r="EN37" s="63"/>
      <c r="EO37" s="63"/>
      <c r="EP37" s="63"/>
      <c r="EQ37" s="63"/>
      <c r="ER37" s="63"/>
      <c r="ES37" s="63"/>
      <c r="ET37" s="63"/>
      <c r="EU37" s="63"/>
      <c r="EV37" s="63"/>
      <c r="EW37" s="63"/>
      <c r="EX37" s="63"/>
      <c r="EY37" s="63"/>
      <c r="EZ37" s="63"/>
      <c r="FA37" s="63"/>
      <c r="FB37" s="63"/>
      <c r="FC37" s="63"/>
      <c r="FD37" s="63"/>
      <c r="FE37" s="63"/>
      <c r="FF37" s="63"/>
      <c r="FG37" s="63"/>
      <c r="FH37" s="63"/>
      <c r="FI37" s="63"/>
      <c r="FJ37" s="63"/>
      <c r="FK37" s="63"/>
      <c r="FL37" s="63"/>
    </row>
    <row r="38" spans="1:168" ht="18.75" x14ac:dyDescent="0.3">
      <c r="A38" s="63"/>
      <c r="B38" s="99"/>
      <c r="C38" s="96"/>
      <c r="D38" s="122" t="s">
        <v>6</v>
      </c>
      <c r="E38" s="122"/>
      <c r="F38" s="104">
        <f>'Total reduction visuals'!N8</f>
        <v>1</v>
      </c>
      <c r="G38" s="98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3"/>
      <c r="AS38" s="63"/>
      <c r="AT38" s="63"/>
      <c r="AU38" s="63"/>
      <c r="AV38" s="63"/>
      <c r="AW38" s="63"/>
      <c r="AX38" s="63"/>
      <c r="AY38" s="63"/>
      <c r="AZ38" s="63"/>
      <c r="BA38" s="63"/>
      <c r="BB38" s="63"/>
      <c r="BC38" s="63"/>
      <c r="BD38" s="63"/>
      <c r="BE38" s="63"/>
      <c r="BF38" s="63"/>
      <c r="BG38" s="63"/>
      <c r="BH38" s="63"/>
      <c r="BI38" s="63"/>
      <c r="BJ38" s="63"/>
      <c r="BK38" s="63"/>
      <c r="BL38" s="63"/>
      <c r="BM38" s="63"/>
      <c r="BN38" s="63"/>
      <c r="BO38" s="63"/>
      <c r="BP38" s="63"/>
      <c r="BQ38" s="63"/>
      <c r="BR38" s="63"/>
      <c r="BS38" s="63"/>
      <c r="BT38" s="63"/>
      <c r="BU38" s="63"/>
      <c r="BV38" s="63"/>
      <c r="BW38" s="63"/>
      <c r="BX38" s="63"/>
      <c r="BY38" s="63"/>
      <c r="BZ38" s="63"/>
      <c r="CA38" s="63"/>
      <c r="CB38" s="63"/>
      <c r="CC38" s="63"/>
      <c r="CD38" s="63"/>
      <c r="CE38" s="63"/>
      <c r="CF38" s="63"/>
      <c r="CG38" s="63"/>
      <c r="CH38" s="63"/>
      <c r="CI38" s="63"/>
      <c r="CJ38" s="63"/>
      <c r="CK38" s="63"/>
      <c r="CL38" s="63"/>
      <c r="CM38" s="63"/>
      <c r="CN38" s="63"/>
      <c r="CO38" s="63"/>
      <c r="CP38" s="63"/>
      <c r="CQ38" s="63"/>
      <c r="CR38" s="63"/>
      <c r="CS38" s="63"/>
      <c r="CT38" s="63"/>
      <c r="CU38" s="63"/>
      <c r="CV38" s="63"/>
      <c r="CW38" s="63"/>
      <c r="CX38" s="63"/>
      <c r="CY38" s="63"/>
      <c r="CZ38" s="63"/>
      <c r="DA38" s="63"/>
      <c r="DB38" s="63"/>
      <c r="DC38" s="63"/>
      <c r="DD38" s="63"/>
      <c r="DE38" s="63"/>
      <c r="DF38" s="63"/>
      <c r="DG38" s="63"/>
      <c r="DH38" s="63"/>
      <c r="DI38" s="63"/>
      <c r="DJ38" s="63"/>
      <c r="DK38" s="63"/>
      <c r="DL38" s="63"/>
      <c r="DM38" s="63"/>
      <c r="DN38" s="63"/>
      <c r="DO38" s="63"/>
      <c r="DP38" s="63"/>
      <c r="DQ38" s="63"/>
      <c r="DR38" s="63"/>
      <c r="DS38" s="63"/>
      <c r="DT38" s="63"/>
      <c r="DU38" s="63"/>
      <c r="DV38" s="63"/>
      <c r="DW38" s="63"/>
      <c r="DX38" s="63"/>
      <c r="DY38" s="63"/>
      <c r="DZ38" s="63"/>
      <c r="EA38" s="63"/>
      <c r="EB38" s="63"/>
      <c r="EC38" s="63"/>
      <c r="ED38" s="63"/>
      <c r="EE38" s="63"/>
      <c r="EF38" s="63"/>
      <c r="EG38" s="63"/>
      <c r="EH38" s="63"/>
      <c r="EI38" s="63"/>
      <c r="EJ38" s="63"/>
      <c r="EK38" s="63"/>
      <c r="EL38" s="63"/>
      <c r="EM38" s="63"/>
      <c r="EN38" s="63"/>
      <c r="EO38" s="63"/>
      <c r="EP38" s="63"/>
      <c r="EQ38" s="63"/>
      <c r="ER38" s="63"/>
      <c r="ES38" s="63"/>
      <c r="ET38" s="63"/>
      <c r="EU38" s="63"/>
      <c r="EV38" s="63"/>
      <c r="EW38" s="63"/>
      <c r="EX38" s="63"/>
      <c r="EY38" s="63"/>
      <c r="EZ38" s="63"/>
      <c r="FA38" s="63"/>
      <c r="FB38" s="63"/>
      <c r="FC38" s="63"/>
      <c r="FD38" s="63"/>
      <c r="FE38" s="63"/>
      <c r="FF38" s="63"/>
      <c r="FG38" s="63"/>
      <c r="FH38" s="63"/>
      <c r="FI38" s="63"/>
      <c r="FJ38" s="63"/>
      <c r="FK38" s="63"/>
      <c r="FL38" s="63"/>
    </row>
    <row r="39" spans="1:168" ht="18.75" x14ac:dyDescent="0.3">
      <c r="A39" s="63"/>
      <c r="B39" s="99"/>
      <c r="C39" s="96"/>
      <c r="D39" s="122" t="s">
        <v>7</v>
      </c>
      <c r="E39" s="122"/>
      <c r="F39" s="104">
        <f>'Total reduction visuals'!N9</f>
        <v>1</v>
      </c>
      <c r="G39" s="98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63"/>
      <c r="AR39" s="63"/>
      <c r="AS39" s="63"/>
      <c r="AT39" s="63"/>
      <c r="AU39" s="63"/>
      <c r="AV39" s="63"/>
      <c r="AW39" s="63"/>
      <c r="AX39" s="63"/>
      <c r="AY39" s="63"/>
      <c r="AZ39" s="63"/>
      <c r="BA39" s="63"/>
      <c r="BB39" s="63"/>
      <c r="BC39" s="63"/>
      <c r="BD39" s="63"/>
      <c r="BE39" s="63"/>
      <c r="BF39" s="63"/>
      <c r="BG39" s="63"/>
      <c r="BH39" s="63"/>
      <c r="BI39" s="63"/>
      <c r="BJ39" s="63"/>
      <c r="BK39" s="63"/>
      <c r="BL39" s="63"/>
      <c r="BM39" s="63"/>
      <c r="BN39" s="63"/>
      <c r="BO39" s="63"/>
      <c r="BP39" s="63"/>
      <c r="BQ39" s="63"/>
      <c r="BR39" s="63"/>
      <c r="BS39" s="63"/>
      <c r="BT39" s="63"/>
      <c r="BU39" s="63"/>
      <c r="BV39" s="63"/>
      <c r="BW39" s="63"/>
      <c r="BX39" s="63"/>
      <c r="BY39" s="63"/>
      <c r="BZ39" s="63"/>
      <c r="CA39" s="63"/>
      <c r="CB39" s="63"/>
      <c r="CC39" s="63"/>
      <c r="CD39" s="63"/>
      <c r="CE39" s="63"/>
      <c r="CF39" s="63"/>
      <c r="CG39" s="63"/>
      <c r="CH39" s="63"/>
      <c r="CI39" s="63"/>
      <c r="CJ39" s="63"/>
      <c r="CK39" s="63"/>
      <c r="CL39" s="63"/>
      <c r="CM39" s="63"/>
      <c r="CN39" s="63"/>
      <c r="CO39" s="63"/>
      <c r="CP39" s="63"/>
      <c r="CQ39" s="63"/>
      <c r="CR39" s="63"/>
      <c r="CS39" s="63"/>
      <c r="CT39" s="63"/>
      <c r="CU39" s="63"/>
      <c r="CV39" s="63"/>
      <c r="CW39" s="63"/>
      <c r="CX39" s="63"/>
      <c r="CY39" s="63"/>
      <c r="CZ39" s="63"/>
      <c r="DA39" s="63"/>
      <c r="DB39" s="63"/>
      <c r="DC39" s="63"/>
      <c r="DD39" s="63"/>
      <c r="DE39" s="63"/>
      <c r="DF39" s="63"/>
      <c r="DG39" s="63"/>
      <c r="DH39" s="63"/>
      <c r="DI39" s="63"/>
      <c r="DJ39" s="63"/>
      <c r="DK39" s="63"/>
      <c r="DL39" s="63"/>
      <c r="DM39" s="63"/>
      <c r="DN39" s="63"/>
      <c r="DO39" s="63"/>
      <c r="DP39" s="63"/>
      <c r="DQ39" s="63"/>
      <c r="DR39" s="63"/>
      <c r="DS39" s="63"/>
      <c r="DT39" s="63"/>
      <c r="DU39" s="63"/>
      <c r="DV39" s="63"/>
      <c r="DW39" s="63"/>
      <c r="DX39" s="63"/>
      <c r="DY39" s="63"/>
      <c r="DZ39" s="63"/>
      <c r="EA39" s="63"/>
      <c r="EB39" s="63"/>
      <c r="EC39" s="63"/>
      <c r="ED39" s="63"/>
      <c r="EE39" s="63"/>
      <c r="EF39" s="63"/>
      <c r="EG39" s="63"/>
      <c r="EH39" s="63"/>
      <c r="EI39" s="63"/>
      <c r="EJ39" s="63"/>
      <c r="EK39" s="63"/>
      <c r="EL39" s="63"/>
      <c r="EM39" s="63"/>
      <c r="EN39" s="63"/>
      <c r="EO39" s="63"/>
      <c r="EP39" s="63"/>
      <c r="EQ39" s="63"/>
      <c r="ER39" s="63"/>
      <c r="ES39" s="63"/>
      <c r="ET39" s="63"/>
      <c r="EU39" s="63"/>
      <c r="EV39" s="63"/>
      <c r="EW39" s="63"/>
      <c r="EX39" s="63"/>
      <c r="EY39" s="63"/>
      <c r="EZ39" s="63"/>
      <c r="FA39" s="63"/>
      <c r="FB39" s="63"/>
      <c r="FC39" s="63"/>
      <c r="FD39" s="63"/>
      <c r="FE39" s="63"/>
      <c r="FF39" s="63"/>
      <c r="FG39" s="63"/>
      <c r="FH39" s="63"/>
      <c r="FI39" s="63"/>
      <c r="FJ39" s="63"/>
      <c r="FK39" s="63"/>
      <c r="FL39" s="63"/>
    </row>
    <row r="40" spans="1:168" ht="18.75" x14ac:dyDescent="0.3">
      <c r="A40" s="63"/>
      <c r="B40" s="99"/>
      <c r="C40" s="96"/>
      <c r="D40" s="96"/>
      <c r="E40" s="96"/>
      <c r="F40" s="104"/>
      <c r="G40" s="98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BH40" s="63"/>
      <c r="BI40" s="63"/>
      <c r="BJ40" s="63"/>
      <c r="BK40" s="63"/>
      <c r="BL40" s="63"/>
      <c r="BM40" s="63"/>
      <c r="BN40" s="63"/>
      <c r="BO40" s="63"/>
      <c r="BP40" s="63"/>
      <c r="BQ40" s="63"/>
      <c r="BR40" s="63"/>
      <c r="BS40" s="63"/>
      <c r="BT40" s="63"/>
      <c r="BU40" s="63"/>
      <c r="BV40" s="63"/>
      <c r="BW40" s="63"/>
      <c r="BX40" s="63"/>
      <c r="BY40" s="63"/>
      <c r="BZ40" s="63"/>
      <c r="CA40" s="63"/>
      <c r="CB40" s="63"/>
      <c r="CC40" s="63"/>
      <c r="CD40" s="63"/>
      <c r="CE40" s="63"/>
      <c r="CF40" s="63"/>
      <c r="CG40" s="63"/>
      <c r="CH40" s="63"/>
      <c r="CI40" s="63"/>
      <c r="CJ40" s="63"/>
      <c r="CK40" s="63"/>
      <c r="CL40" s="63"/>
      <c r="CM40" s="63"/>
      <c r="CN40" s="63"/>
      <c r="CO40" s="63"/>
      <c r="CP40" s="63"/>
      <c r="CQ40" s="63"/>
      <c r="CR40" s="63"/>
      <c r="CS40" s="63"/>
      <c r="CT40" s="63"/>
      <c r="CU40" s="63"/>
      <c r="CV40" s="63"/>
      <c r="CW40" s="63"/>
      <c r="CX40" s="63"/>
      <c r="CY40" s="63"/>
      <c r="CZ40" s="63"/>
      <c r="DA40" s="63"/>
      <c r="DB40" s="63"/>
      <c r="DC40" s="63"/>
      <c r="DD40" s="63"/>
      <c r="DE40" s="63"/>
      <c r="DF40" s="63"/>
      <c r="DG40" s="63"/>
      <c r="DH40" s="63"/>
      <c r="DI40" s="63"/>
      <c r="DJ40" s="63"/>
      <c r="DK40" s="63"/>
      <c r="DL40" s="63"/>
      <c r="DM40" s="63"/>
      <c r="DN40" s="63"/>
      <c r="DO40" s="63"/>
      <c r="DP40" s="63"/>
      <c r="DQ40" s="63"/>
      <c r="DR40" s="63"/>
      <c r="DS40" s="63"/>
      <c r="DT40" s="63"/>
      <c r="DU40" s="63"/>
      <c r="DV40" s="63"/>
      <c r="DW40" s="63"/>
      <c r="DX40" s="63"/>
      <c r="DY40" s="63"/>
      <c r="DZ40" s="63"/>
      <c r="EA40" s="63"/>
      <c r="EB40" s="63"/>
      <c r="EC40" s="63"/>
      <c r="ED40" s="63"/>
      <c r="EE40" s="63"/>
      <c r="EF40" s="63"/>
      <c r="EG40" s="63"/>
      <c r="EH40" s="63"/>
      <c r="EI40" s="63"/>
      <c r="EJ40" s="63"/>
      <c r="EK40" s="63"/>
      <c r="EL40" s="63"/>
      <c r="EM40" s="63"/>
      <c r="EN40" s="63"/>
      <c r="EO40" s="63"/>
      <c r="EP40" s="63"/>
      <c r="EQ40" s="63"/>
      <c r="ER40" s="63"/>
      <c r="ES40" s="63"/>
      <c r="ET40" s="63"/>
      <c r="EU40" s="63"/>
      <c r="EV40" s="63"/>
      <c r="EW40" s="63"/>
      <c r="EX40" s="63"/>
      <c r="EY40" s="63"/>
      <c r="EZ40" s="63"/>
      <c r="FA40" s="63"/>
      <c r="FB40" s="63"/>
      <c r="FC40" s="63"/>
      <c r="FD40" s="63"/>
      <c r="FE40" s="63"/>
      <c r="FF40" s="63"/>
      <c r="FG40" s="63"/>
      <c r="FH40" s="63"/>
      <c r="FI40" s="63"/>
      <c r="FJ40" s="63"/>
      <c r="FK40" s="63"/>
      <c r="FL40" s="63"/>
    </row>
    <row r="41" spans="1:168" ht="18.75" x14ac:dyDescent="0.3">
      <c r="A41" s="63"/>
      <c r="B41" s="94" t="s">
        <v>8</v>
      </c>
      <c r="C41" s="95" t="s">
        <v>9</v>
      </c>
      <c r="D41" s="96"/>
      <c r="E41" s="96"/>
      <c r="F41" s="104"/>
      <c r="G41" s="98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BH41" s="63"/>
      <c r="BI41" s="63"/>
      <c r="BJ41" s="63"/>
      <c r="BK41" s="63"/>
      <c r="BL41" s="63"/>
      <c r="BM41" s="63"/>
      <c r="BN41" s="63"/>
      <c r="BO41" s="63"/>
      <c r="BP41" s="63"/>
      <c r="BQ41" s="63"/>
      <c r="BR41" s="63"/>
      <c r="BS41" s="63"/>
      <c r="BT41" s="63"/>
      <c r="BU41" s="63"/>
      <c r="BV41" s="63"/>
      <c r="BW41" s="63"/>
      <c r="BX41" s="63"/>
      <c r="BY41" s="63"/>
      <c r="BZ41" s="63"/>
      <c r="CA41" s="63"/>
      <c r="CB41" s="63"/>
      <c r="CC41" s="63"/>
      <c r="CD41" s="63"/>
      <c r="CE41" s="63"/>
      <c r="CF41" s="63"/>
      <c r="CG41" s="63"/>
      <c r="CH41" s="63"/>
      <c r="CI41" s="63"/>
      <c r="CJ41" s="63"/>
      <c r="CK41" s="63"/>
      <c r="CL41" s="63"/>
      <c r="CM41" s="63"/>
      <c r="CN41" s="63"/>
      <c r="CO41" s="63"/>
      <c r="CP41" s="63"/>
      <c r="CQ41" s="63"/>
      <c r="CR41" s="63"/>
      <c r="CS41" s="63"/>
      <c r="CT41" s="63"/>
      <c r="CU41" s="63"/>
      <c r="CV41" s="63"/>
      <c r="CW41" s="63"/>
      <c r="CX41" s="63"/>
      <c r="CY41" s="63"/>
      <c r="CZ41" s="63"/>
      <c r="DA41" s="63"/>
      <c r="DB41" s="63"/>
      <c r="DC41" s="63"/>
      <c r="DD41" s="63"/>
      <c r="DE41" s="63"/>
      <c r="DF41" s="63"/>
      <c r="DG41" s="63"/>
      <c r="DH41" s="63"/>
      <c r="DI41" s="63"/>
      <c r="DJ41" s="63"/>
      <c r="DK41" s="63"/>
      <c r="DL41" s="63"/>
      <c r="DM41" s="63"/>
      <c r="DN41" s="63"/>
      <c r="DO41" s="63"/>
      <c r="DP41" s="63"/>
      <c r="DQ41" s="63"/>
      <c r="DR41" s="63"/>
      <c r="DS41" s="63"/>
      <c r="DT41" s="63"/>
      <c r="DU41" s="63"/>
      <c r="DV41" s="63"/>
      <c r="DW41" s="63"/>
      <c r="DX41" s="63"/>
      <c r="DY41" s="63"/>
      <c r="DZ41" s="63"/>
      <c r="EA41" s="63"/>
      <c r="EB41" s="63"/>
      <c r="EC41" s="63"/>
      <c r="ED41" s="63"/>
      <c r="EE41" s="63"/>
      <c r="EF41" s="63"/>
      <c r="EG41" s="63"/>
      <c r="EH41" s="63"/>
      <c r="EI41" s="63"/>
      <c r="EJ41" s="63"/>
      <c r="EK41" s="63"/>
      <c r="EL41" s="63"/>
      <c r="EM41" s="63"/>
      <c r="EN41" s="63"/>
      <c r="EO41" s="63"/>
      <c r="EP41" s="63"/>
      <c r="EQ41" s="63"/>
      <c r="ER41" s="63"/>
      <c r="ES41" s="63"/>
      <c r="ET41" s="63"/>
      <c r="EU41" s="63"/>
      <c r="EV41" s="63"/>
      <c r="EW41" s="63"/>
      <c r="EX41" s="63"/>
      <c r="EY41" s="63"/>
      <c r="EZ41" s="63"/>
      <c r="FA41" s="63"/>
      <c r="FB41" s="63"/>
      <c r="FC41" s="63"/>
      <c r="FD41" s="63"/>
      <c r="FE41" s="63"/>
      <c r="FF41" s="63"/>
      <c r="FG41" s="63"/>
      <c r="FH41" s="63"/>
      <c r="FI41" s="63"/>
      <c r="FJ41" s="63"/>
      <c r="FK41" s="63"/>
      <c r="FL41" s="63"/>
    </row>
    <row r="42" spans="1:168" ht="18.75" x14ac:dyDescent="0.3">
      <c r="A42" s="63"/>
      <c r="B42" s="99"/>
      <c r="C42" s="96"/>
      <c r="D42" s="100"/>
      <c r="E42" s="100"/>
      <c r="F42" s="104"/>
      <c r="G42" s="98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BH42" s="63"/>
      <c r="BI42" s="63"/>
      <c r="BJ42" s="63"/>
      <c r="BK42" s="63"/>
      <c r="BL42" s="63"/>
      <c r="BM42" s="63"/>
      <c r="BN42" s="63"/>
      <c r="BO42" s="63"/>
      <c r="BP42" s="63"/>
      <c r="BQ42" s="63"/>
      <c r="BR42" s="63"/>
      <c r="BS42" s="63"/>
      <c r="BT42" s="63"/>
      <c r="BU42" s="63"/>
      <c r="BV42" s="63"/>
      <c r="BW42" s="63"/>
      <c r="BX42" s="63"/>
      <c r="BY42" s="63"/>
      <c r="BZ42" s="63"/>
      <c r="CA42" s="63"/>
      <c r="CB42" s="63"/>
      <c r="CC42" s="63"/>
      <c r="CD42" s="63"/>
      <c r="CE42" s="63"/>
      <c r="CF42" s="63"/>
      <c r="CG42" s="63"/>
      <c r="CH42" s="63"/>
      <c r="CI42" s="63"/>
      <c r="CJ42" s="63"/>
      <c r="CK42" s="63"/>
      <c r="CL42" s="63"/>
      <c r="CM42" s="63"/>
      <c r="CN42" s="63"/>
      <c r="CO42" s="63"/>
      <c r="CP42" s="63"/>
      <c r="CQ42" s="63"/>
      <c r="CR42" s="63"/>
      <c r="CS42" s="63"/>
      <c r="CT42" s="63"/>
      <c r="CU42" s="63"/>
      <c r="CV42" s="63"/>
      <c r="CW42" s="63"/>
      <c r="CX42" s="63"/>
      <c r="CY42" s="63"/>
      <c r="CZ42" s="63"/>
      <c r="DA42" s="63"/>
      <c r="DB42" s="63"/>
      <c r="DC42" s="63"/>
      <c r="DD42" s="63"/>
      <c r="DE42" s="63"/>
      <c r="DF42" s="63"/>
      <c r="DG42" s="63"/>
      <c r="DH42" s="63"/>
      <c r="DI42" s="63"/>
      <c r="DJ42" s="63"/>
      <c r="DK42" s="63"/>
      <c r="DL42" s="63"/>
      <c r="DM42" s="63"/>
      <c r="DN42" s="63"/>
      <c r="DO42" s="63"/>
      <c r="DP42" s="63"/>
      <c r="DQ42" s="63"/>
      <c r="DR42" s="63"/>
      <c r="DS42" s="63"/>
      <c r="DT42" s="63"/>
      <c r="DU42" s="63"/>
      <c r="DV42" s="63"/>
      <c r="DW42" s="63"/>
      <c r="DX42" s="63"/>
      <c r="DY42" s="63"/>
      <c r="DZ42" s="63"/>
      <c r="EA42" s="63"/>
      <c r="EB42" s="63"/>
      <c r="EC42" s="63"/>
      <c r="ED42" s="63"/>
      <c r="EE42" s="63"/>
      <c r="EF42" s="63"/>
      <c r="EG42" s="63"/>
      <c r="EH42" s="63"/>
      <c r="EI42" s="63"/>
      <c r="EJ42" s="63"/>
      <c r="EK42" s="63"/>
      <c r="EL42" s="63"/>
      <c r="EM42" s="63"/>
      <c r="EN42" s="63"/>
      <c r="EO42" s="63"/>
      <c r="EP42" s="63"/>
      <c r="EQ42" s="63"/>
      <c r="ER42" s="63"/>
      <c r="ES42" s="63"/>
      <c r="ET42" s="63"/>
      <c r="EU42" s="63"/>
      <c r="EV42" s="63"/>
      <c r="EW42" s="63"/>
      <c r="EX42" s="63"/>
      <c r="EY42" s="63"/>
      <c r="EZ42" s="63"/>
      <c r="FA42" s="63"/>
      <c r="FB42" s="63"/>
      <c r="FC42" s="63"/>
      <c r="FD42" s="63"/>
      <c r="FE42" s="63"/>
      <c r="FF42" s="63"/>
      <c r="FG42" s="63"/>
      <c r="FH42" s="63"/>
      <c r="FI42" s="63"/>
      <c r="FJ42" s="63"/>
      <c r="FK42" s="63"/>
      <c r="FL42" s="63"/>
    </row>
    <row r="43" spans="1:168" ht="18.75" x14ac:dyDescent="0.3">
      <c r="A43" s="63"/>
      <c r="B43" s="99"/>
      <c r="C43" s="96"/>
      <c r="D43" s="122" t="s">
        <v>6</v>
      </c>
      <c r="E43" s="122"/>
      <c r="F43" s="105">
        <f>'Total reduction visuals'!N13</f>
        <v>1</v>
      </c>
      <c r="G43" s="98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63"/>
      <c r="BI43" s="63"/>
      <c r="BJ43" s="63"/>
      <c r="BK43" s="63"/>
      <c r="BL43" s="63"/>
      <c r="BM43" s="63"/>
      <c r="BN43" s="63"/>
      <c r="BO43" s="63"/>
      <c r="BP43" s="63"/>
      <c r="BQ43" s="63"/>
      <c r="BR43" s="63"/>
      <c r="BS43" s="63"/>
      <c r="BT43" s="63"/>
      <c r="BU43" s="63"/>
      <c r="BV43" s="63"/>
      <c r="BW43" s="63"/>
      <c r="BX43" s="63"/>
      <c r="BY43" s="63"/>
      <c r="BZ43" s="63"/>
      <c r="CA43" s="63"/>
      <c r="CB43" s="63"/>
      <c r="CC43" s="63"/>
      <c r="CD43" s="63"/>
      <c r="CE43" s="63"/>
      <c r="CF43" s="63"/>
      <c r="CG43" s="63"/>
      <c r="CH43" s="63"/>
      <c r="CI43" s="63"/>
      <c r="CJ43" s="63"/>
      <c r="CK43" s="63"/>
      <c r="CL43" s="63"/>
      <c r="CM43" s="63"/>
      <c r="CN43" s="63"/>
      <c r="CO43" s="63"/>
      <c r="CP43" s="63"/>
      <c r="CQ43" s="63"/>
      <c r="CR43" s="63"/>
      <c r="CS43" s="63"/>
      <c r="CT43" s="63"/>
      <c r="CU43" s="63"/>
      <c r="CV43" s="63"/>
      <c r="CW43" s="63"/>
      <c r="CX43" s="63"/>
      <c r="CY43" s="63"/>
      <c r="CZ43" s="63"/>
      <c r="DA43" s="63"/>
      <c r="DB43" s="63"/>
      <c r="DC43" s="63"/>
      <c r="DD43" s="63"/>
      <c r="DE43" s="63"/>
      <c r="DF43" s="63"/>
      <c r="DG43" s="63"/>
      <c r="DH43" s="63"/>
      <c r="DI43" s="63"/>
      <c r="DJ43" s="63"/>
      <c r="DK43" s="63"/>
      <c r="DL43" s="63"/>
      <c r="DM43" s="63"/>
      <c r="DN43" s="63"/>
      <c r="DO43" s="63"/>
      <c r="DP43" s="63"/>
      <c r="DQ43" s="63"/>
      <c r="DR43" s="63"/>
      <c r="DS43" s="63"/>
      <c r="DT43" s="63"/>
      <c r="DU43" s="63"/>
      <c r="DV43" s="63"/>
      <c r="DW43" s="63"/>
      <c r="DX43" s="63"/>
      <c r="DY43" s="63"/>
      <c r="DZ43" s="63"/>
      <c r="EA43" s="63"/>
      <c r="EB43" s="63"/>
      <c r="EC43" s="63"/>
      <c r="ED43" s="63"/>
      <c r="EE43" s="63"/>
      <c r="EF43" s="63"/>
      <c r="EG43" s="63"/>
      <c r="EH43" s="63"/>
      <c r="EI43" s="63"/>
      <c r="EJ43" s="63"/>
      <c r="EK43" s="63"/>
      <c r="EL43" s="63"/>
      <c r="EM43" s="63"/>
      <c r="EN43" s="63"/>
      <c r="EO43" s="63"/>
      <c r="EP43" s="63"/>
      <c r="EQ43" s="63"/>
      <c r="ER43" s="63"/>
      <c r="ES43" s="63"/>
      <c r="ET43" s="63"/>
      <c r="EU43" s="63"/>
      <c r="EV43" s="63"/>
      <c r="EW43" s="63"/>
      <c r="EX43" s="63"/>
      <c r="EY43" s="63"/>
      <c r="EZ43" s="63"/>
      <c r="FA43" s="63"/>
      <c r="FB43" s="63"/>
      <c r="FC43" s="63"/>
      <c r="FD43" s="63"/>
      <c r="FE43" s="63"/>
      <c r="FF43" s="63"/>
      <c r="FG43" s="63"/>
      <c r="FH43" s="63"/>
      <c r="FI43" s="63"/>
      <c r="FJ43" s="63"/>
      <c r="FK43" s="63"/>
      <c r="FL43" s="63"/>
    </row>
    <row r="44" spans="1:168" ht="18.75" x14ac:dyDescent="0.3">
      <c r="A44" s="63"/>
      <c r="B44" s="99"/>
      <c r="C44" s="96"/>
      <c r="D44" s="122" t="s">
        <v>7</v>
      </c>
      <c r="E44" s="122"/>
      <c r="F44" s="105">
        <f>'Total reduction visuals'!N14</f>
        <v>1</v>
      </c>
      <c r="G44" s="98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3"/>
      <c r="AX44" s="63"/>
      <c r="AY44" s="63"/>
      <c r="AZ44" s="63"/>
      <c r="BA44" s="63"/>
      <c r="BB44" s="63"/>
      <c r="BC44" s="63"/>
      <c r="BD44" s="63"/>
      <c r="BE44" s="63"/>
      <c r="BF44" s="63"/>
      <c r="BG44" s="63"/>
      <c r="BH44" s="63"/>
      <c r="BI44" s="63"/>
      <c r="BJ44" s="63"/>
      <c r="BK44" s="63"/>
      <c r="BL44" s="63"/>
      <c r="BM44" s="63"/>
      <c r="BN44" s="63"/>
      <c r="BO44" s="63"/>
      <c r="BP44" s="63"/>
      <c r="BQ44" s="63"/>
      <c r="BR44" s="63"/>
      <c r="BS44" s="63"/>
      <c r="BT44" s="63"/>
      <c r="BU44" s="63"/>
      <c r="BV44" s="63"/>
      <c r="BW44" s="63"/>
      <c r="BX44" s="63"/>
      <c r="BY44" s="63"/>
      <c r="BZ44" s="63"/>
      <c r="CA44" s="63"/>
      <c r="CB44" s="63"/>
      <c r="CC44" s="63"/>
      <c r="CD44" s="63"/>
      <c r="CE44" s="63"/>
      <c r="CF44" s="63"/>
      <c r="CG44" s="63"/>
      <c r="CH44" s="63"/>
      <c r="CI44" s="63"/>
      <c r="CJ44" s="63"/>
      <c r="CK44" s="63"/>
      <c r="CL44" s="63"/>
      <c r="CM44" s="63"/>
      <c r="CN44" s="63"/>
      <c r="CO44" s="63"/>
      <c r="CP44" s="63"/>
      <c r="CQ44" s="63"/>
      <c r="CR44" s="63"/>
      <c r="CS44" s="63"/>
      <c r="CT44" s="63"/>
      <c r="CU44" s="63"/>
      <c r="CV44" s="63"/>
      <c r="CW44" s="63"/>
      <c r="CX44" s="63"/>
      <c r="CY44" s="63"/>
      <c r="CZ44" s="63"/>
      <c r="DA44" s="63"/>
      <c r="DB44" s="63"/>
      <c r="DC44" s="63"/>
      <c r="DD44" s="63"/>
      <c r="DE44" s="63"/>
      <c r="DF44" s="63"/>
      <c r="DG44" s="63"/>
      <c r="DH44" s="63"/>
      <c r="DI44" s="63"/>
      <c r="DJ44" s="63"/>
      <c r="DK44" s="63"/>
      <c r="DL44" s="63"/>
      <c r="DM44" s="63"/>
      <c r="DN44" s="63"/>
      <c r="DO44" s="63"/>
      <c r="DP44" s="63"/>
      <c r="DQ44" s="63"/>
      <c r="DR44" s="63"/>
      <c r="DS44" s="63"/>
      <c r="DT44" s="63"/>
      <c r="DU44" s="63"/>
      <c r="DV44" s="63"/>
      <c r="DW44" s="63"/>
      <c r="DX44" s="63"/>
      <c r="DY44" s="63"/>
      <c r="DZ44" s="63"/>
      <c r="EA44" s="63"/>
      <c r="EB44" s="63"/>
      <c r="EC44" s="63"/>
      <c r="ED44" s="63"/>
      <c r="EE44" s="63"/>
      <c r="EF44" s="63"/>
      <c r="EG44" s="63"/>
      <c r="EH44" s="63"/>
      <c r="EI44" s="63"/>
      <c r="EJ44" s="63"/>
      <c r="EK44" s="63"/>
      <c r="EL44" s="63"/>
      <c r="EM44" s="63"/>
      <c r="EN44" s="63"/>
      <c r="EO44" s="63"/>
      <c r="EP44" s="63"/>
      <c r="EQ44" s="63"/>
      <c r="ER44" s="63"/>
      <c r="ES44" s="63"/>
      <c r="ET44" s="63"/>
      <c r="EU44" s="63"/>
      <c r="EV44" s="63"/>
      <c r="EW44" s="63"/>
      <c r="EX44" s="63"/>
      <c r="EY44" s="63"/>
      <c r="EZ44" s="63"/>
      <c r="FA44" s="63"/>
      <c r="FB44" s="63"/>
      <c r="FC44" s="63"/>
      <c r="FD44" s="63"/>
      <c r="FE44" s="63"/>
      <c r="FF44" s="63"/>
      <c r="FG44" s="63"/>
      <c r="FH44" s="63"/>
      <c r="FI44" s="63"/>
      <c r="FJ44" s="63"/>
      <c r="FK44" s="63"/>
      <c r="FL44" s="63"/>
    </row>
    <row r="45" spans="1:168" ht="18.75" x14ac:dyDescent="0.3">
      <c r="A45" s="63"/>
      <c r="B45" s="99"/>
      <c r="C45" s="96"/>
      <c r="D45" s="96"/>
      <c r="E45" s="96"/>
      <c r="F45" s="104"/>
      <c r="G45" s="98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BH45" s="63"/>
      <c r="BI45" s="63"/>
      <c r="BJ45" s="63"/>
      <c r="BK45" s="63"/>
      <c r="BL45" s="63"/>
      <c r="BM45" s="63"/>
      <c r="BN45" s="63"/>
      <c r="BO45" s="63"/>
      <c r="BP45" s="63"/>
      <c r="BQ45" s="63"/>
      <c r="BR45" s="63"/>
      <c r="BS45" s="63"/>
      <c r="BT45" s="63"/>
      <c r="BU45" s="63"/>
      <c r="BV45" s="63"/>
      <c r="BW45" s="63"/>
      <c r="BX45" s="63"/>
      <c r="BY45" s="63"/>
      <c r="BZ45" s="63"/>
      <c r="CA45" s="63"/>
      <c r="CB45" s="63"/>
      <c r="CC45" s="63"/>
      <c r="CD45" s="63"/>
      <c r="CE45" s="63"/>
      <c r="CF45" s="63"/>
      <c r="CG45" s="63"/>
      <c r="CH45" s="63"/>
      <c r="CI45" s="63"/>
      <c r="CJ45" s="63"/>
      <c r="CK45" s="63"/>
      <c r="CL45" s="63"/>
      <c r="CM45" s="63"/>
      <c r="CN45" s="63"/>
      <c r="CO45" s="63"/>
      <c r="CP45" s="63"/>
      <c r="CQ45" s="63"/>
      <c r="CR45" s="63"/>
      <c r="CS45" s="63"/>
      <c r="CT45" s="63"/>
      <c r="CU45" s="63"/>
      <c r="CV45" s="63"/>
      <c r="CW45" s="63"/>
      <c r="CX45" s="63"/>
      <c r="CY45" s="63"/>
      <c r="CZ45" s="63"/>
      <c r="DA45" s="63"/>
      <c r="DB45" s="63"/>
      <c r="DC45" s="63"/>
      <c r="DD45" s="63"/>
      <c r="DE45" s="63"/>
      <c r="DF45" s="63"/>
      <c r="DG45" s="63"/>
      <c r="DH45" s="63"/>
      <c r="DI45" s="63"/>
      <c r="DJ45" s="63"/>
      <c r="DK45" s="63"/>
      <c r="DL45" s="63"/>
      <c r="DM45" s="63"/>
      <c r="DN45" s="63"/>
      <c r="DO45" s="63"/>
      <c r="DP45" s="63"/>
      <c r="DQ45" s="63"/>
      <c r="DR45" s="63"/>
      <c r="DS45" s="63"/>
      <c r="DT45" s="63"/>
      <c r="DU45" s="63"/>
      <c r="DV45" s="63"/>
      <c r="DW45" s="63"/>
      <c r="DX45" s="63"/>
      <c r="DY45" s="63"/>
      <c r="DZ45" s="63"/>
      <c r="EA45" s="63"/>
      <c r="EB45" s="63"/>
      <c r="EC45" s="63"/>
      <c r="ED45" s="63"/>
      <c r="EE45" s="63"/>
      <c r="EF45" s="63"/>
      <c r="EG45" s="63"/>
      <c r="EH45" s="63"/>
      <c r="EI45" s="63"/>
      <c r="EJ45" s="63"/>
      <c r="EK45" s="63"/>
      <c r="EL45" s="63"/>
      <c r="EM45" s="63"/>
      <c r="EN45" s="63"/>
      <c r="EO45" s="63"/>
      <c r="EP45" s="63"/>
      <c r="EQ45" s="63"/>
      <c r="ER45" s="63"/>
      <c r="ES45" s="63"/>
      <c r="ET45" s="63"/>
      <c r="EU45" s="63"/>
      <c r="EV45" s="63"/>
      <c r="EW45" s="63"/>
      <c r="EX45" s="63"/>
      <c r="EY45" s="63"/>
      <c r="EZ45" s="63"/>
      <c r="FA45" s="63"/>
      <c r="FB45" s="63"/>
      <c r="FC45" s="63"/>
      <c r="FD45" s="63"/>
      <c r="FE45" s="63"/>
      <c r="FF45" s="63"/>
      <c r="FG45" s="63"/>
      <c r="FH45" s="63"/>
      <c r="FI45" s="63"/>
      <c r="FJ45" s="63"/>
      <c r="FK45" s="63"/>
      <c r="FL45" s="63"/>
    </row>
    <row r="46" spans="1:168" ht="18.75" x14ac:dyDescent="0.3">
      <c r="A46" s="63"/>
      <c r="B46" s="94" t="s">
        <v>10</v>
      </c>
      <c r="C46" s="95" t="s">
        <v>11</v>
      </c>
      <c r="D46" s="96"/>
      <c r="E46" s="96"/>
      <c r="F46" s="104"/>
      <c r="G46" s="98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BH46" s="63"/>
      <c r="BI46" s="63"/>
      <c r="BJ46" s="63"/>
      <c r="BK46" s="63"/>
      <c r="BL46" s="63"/>
      <c r="BM46" s="63"/>
      <c r="BN46" s="63"/>
      <c r="BO46" s="63"/>
      <c r="BP46" s="63"/>
      <c r="BQ46" s="63"/>
      <c r="BR46" s="63"/>
      <c r="BS46" s="63"/>
      <c r="BT46" s="63"/>
      <c r="BU46" s="63"/>
      <c r="BV46" s="63"/>
      <c r="BW46" s="63"/>
      <c r="BX46" s="63"/>
      <c r="BY46" s="63"/>
      <c r="BZ46" s="63"/>
      <c r="CA46" s="63"/>
      <c r="CB46" s="63"/>
      <c r="CC46" s="63"/>
      <c r="CD46" s="63"/>
      <c r="CE46" s="63"/>
      <c r="CF46" s="63"/>
      <c r="CG46" s="63"/>
      <c r="CH46" s="63"/>
      <c r="CI46" s="63"/>
      <c r="CJ46" s="63"/>
      <c r="CK46" s="63"/>
      <c r="CL46" s="63"/>
      <c r="CM46" s="63"/>
      <c r="CN46" s="63"/>
      <c r="CO46" s="63"/>
      <c r="CP46" s="63"/>
      <c r="CQ46" s="63"/>
      <c r="CR46" s="63"/>
      <c r="CS46" s="63"/>
      <c r="CT46" s="63"/>
      <c r="CU46" s="63"/>
      <c r="CV46" s="63"/>
      <c r="CW46" s="63"/>
      <c r="CX46" s="63"/>
      <c r="CY46" s="63"/>
      <c r="CZ46" s="63"/>
      <c r="DA46" s="63"/>
      <c r="DB46" s="63"/>
      <c r="DC46" s="63"/>
      <c r="DD46" s="63"/>
      <c r="DE46" s="63"/>
      <c r="DF46" s="63"/>
      <c r="DG46" s="63"/>
      <c r="DH46" s="63"/>
      <c r="DI46" s="63"/>
      <c r="DJ46" s="63"/>
      <c r="DK46" s="63"/>
      <c r="DL46" s="63"/>
      <c r="DM46" s="63"/>
      <c r="DN46" s="63"/>
      <c r="DO46" s="63"/>
      <c r="DP46" s="63"/>
      <c r="DQ46" s="63"/>
      <c r="DR46" s="63"/>
      <c r="DS46" s="63"/>
      <c r="DT46" s="63"/>
      <c r="DU46" s="63"/>
      <c r="DV46" s="63"/>
      <c r="DW46" s="63"/>
      <c r="DX46" s="63"/>
      <c r="DY46" s="63"/>
      <c r="DZ46" s="63"/>
      <c r="EA46" s="63"/>
      <c r="EB46" s="63"/>
      <c r="EC46" s="63"/>
      <c r="ED46" s="63"/>
      <c r="EE46" s="63"/>
      <c r="EF46" s="63"/>
      <c r="EG46" s="63"/>
      <c r="EH46" s="63"/>
      <c r="EI46" s="63"/>
      <c r="EJ46" s="63"/>
      <c r="EK46" s="63"/>
      <c r="EL46" s="63"/>
      <c r="EM46" s="63"/>
      <c r="EN46" s="63"/>
      <c r="EO46" s="63"/>
      <c r="EP46" s="63"/>
      <c r="EQ46" s="63"/>
      <c r="ER46" s="63"/>
      <c r="ES46" s="63"/>
      <c r="ET46" s="63"/>
      <c r="EU46" s="63"/>
      <c r="EV46" s="63"/>
      <c r="EW46" s="63"/>
      <c r="EX46" s="63"/>
      <c r="EY46" s="63"/>
      <c r="EZ46" s="63"/>
      <c r="FA46" s="63"/>
      <c r="FB46" s="63"/>
      <c r="FC46" s="63"/>
      <c r="FD46" s="63"/>
      <c r="FE46" s="63"/>
      <c r="FF46" s="63"/>
      <c r="FG46" s="63"/>
      <c r="FH46" s="63"/>
      <c r="FI46" s="63"/>
      <c r="FJ46" s="63"/>
      <c r="FK46" s="63"/>
      <c r="FL46" s="63"/>
    </row>
    <row r="47" spans="1:168" ht="18.75" x14ac:dyDescent="0.3">
      <c r="A47" s="63"/>
      <c r="B47" s="99"/>
      <c r="C47" s="96"/>
      <c r="D47" s="96"/>
      <c r="E47" s="100"/>
      <c r="F47" s="106"/>
      <c r="G47" s="98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63"/>
      <c r="AV47" s="63"/>
      <c r="AW47" s="63"/>
      <c r="AX47" s="63"/>
      <c r="AY47" s="63"/>
      <c r="AZ47" s="63"/>
      <c r="BA47" s="63"/>
      <c r="BB47" s="63"/>
      <c r="BC47" s="63"/>
      <c r="BD47" s="63"/>
      <c r="BE47" s="63"/>
      <c r="BF47" s="63"/>
      <c r="BG47" s="63"/>
      <c r="BH47" s="63"/>
      <c r="BI47" s="63"/>
      <c r="BJ47" s="63"/>
      <c r="BK47" s="63"/>
      <c r="BL47" s="63"/>
      <c r="BM47" s="63"/>
      <c r="BN47" s="63"/>
      <c r="BO47" s="63"/>
      <c r="BP47" s="63"/>
      <c r="BQ47" s="63"/>
      <c r="BR47" s="63"/>
      <c r="BS47" s="63"/>
      <c r="BT47" s="63"/>
      <c r="BU47" s="63"/>
      <c r="BV47" s="63"/>
      <c r="BW47" s="63"/>
      <c r="BX47" s="63"/>
      <c r="BY47" s="63"/>
      <c r="BZ47" s="63"/>
      <c r="CA47" s="63"/>
      <c r="CB47" s="63"/>
      <c r="CC47" s="63"/>
      <c r="CD47" s="63"/>
      <c r="CE47" s="63"/>
      <c r="CF47" s="63"/>
      <c r="CG47" s="63"/>
      <c r="CH47" s="63"/>
      <c r="CI47" s="63"/>
      <c r="CJ47" s="63"/>
      <c r="CK47" s="63"/>
      <c r="CL47" s="63"/>
      <c r="CM47" s="63"/>
      <c r="CN47" s="63"/>
      <c r="CO47" s="63"/>
      <c r="CP47" s="63"/>
      <c r="CQ47" s="63"/>
      <c r="CR47" s="63"/>
      <c r="CS47" s="63"/>
      <c r="CT47" s="63"/>
      <c r="CU47" s="63"/>
      <c r="CV47" s="63"/>
      <c r="CW47" s="63"/>
      <c r="CX47" s="63"/>
      <c r="CY47" s="63"/>
      <c r="CZ47" s="63"/>
      <c r="DA47" s="63"/>
      <c r="DB47" s="63"/>
      <c r="DC47" s="63"/>
      <c r="DD47" s="63"/>
      <c r="DE47" s="63"/>
      <c r="DF47" s="63"/>
      <c r="DG47" s="63"/>
      <c r="DH47" s="63"/>
      <c r="DI47" s="63"/>
      <c r="DJ47" s="63"/>
      <c r="DK47" s="63"/>
      <c r="DL47" s="63"/>
      <c r="DM47" s="63"/>
      <c r="DN47" s="63"/>
      <c r="DO47" s="63"/>
      <c r="DP47" s="63"/>
      <c r="DQ47" s="63"/>
      <c r="DR47" s="63"/>
      <c r="DS47" s="63"/>
      <c r="DT47" s="63"/>
      <c r="DU47" s="63"/>
      <c r="DV47" s="63"/>
      <c r="DW47" s="63"/>
      <c r="DX47" s="63"/>
      <c r="DY47" s="63"/>
      <c r="DZ47" s="63"/>
      <c r="EA47" s="63"/>
      <c r="EB47" s="63"/>
      <c r="EC47" s="63"/>
      <c r="ED47" s="63"/>
      <c r="EE47" s="63"/>
      <c r="EF47" s="63"/>
      <c r="EG47" s="63"/>
      <c r="EH47" s="63"/>
      <c r="EI47" s="63"/>
      <c r="EJ47" s="63"/>
      <c r="EK47" s="63"/>
      <c r="EL47" s="63"/>
      <c r="EM47" s="63"/>
      <c r="EN47" s="63"/>
      <c r="EO47" s="63"/>
      <c r="EP47" s="63"/>
      <c r="EQ47" s="63"/>
      <c r="ER47" s="63"/>
      <c r="ES47" s="63"/>
      <c r="ET47" s="63"/>
      <c r="EU47" s="63"/>
      <c r="EV47" s="63"/>
      <c r="EW47" s="63"/>
      <c r="EX47" s="63"/>
      <c r="EY47" s="63"/>
      <c r="EZ47" s="63"/>
      <c r="FA47" s="63"/>
      <c r="FB47" s="63"/>
      <c r="FC47" s="63"/>
      <c r="FD47" s="63"/>
      <c r="FE47" s="63"/>
      <c r="FF47" s="63"/>
      <c r="FG47" s="63"/>
      <c r="FH47" s="63"/>
      <c r="FI47" s="63"/>
      <c r="FJ47" s="63"/>
      <c r="FK47" s="63"/>
      <c r="FL47" s="63"/>
    </row>
    <row r="48" spans="1:168" ht="18.75" x14ac:dyDescent="0.3">
      <c r="A48" s="63"/>
      <c r="B48" s="99"/>
      <c r="C48" s="96"/>
      <c r="D48" s="122" t="s">
        <v>6</v>
      </c>
      <c r="E48" s="122"/>
      <c r="F48" s="105">
        <f>'Total reduction visuals'!N18</f>
        <v>1</v>
      </c>
      <c r="G48" s="98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AW48" s="63"/>
      <c r="AX48" s="63"/>
      <c r="AY48" s="63"/>
      <c r="AZ48" s="63"/>
      <c r="BA48" s="63"/>
      <c r="BB48" s="63"/>
      <c r="BC48" s="63"/>
      <c r="BD48" s="63"/>
      <c r="BE48" s="63"/>
      <c r="BF48" s="63"/>
      <c r="BG48" s="63"/>
      <c r="BH48" s="63"/>
      <c r="BI48" s="63"/>
      <c r="BJ48" s="63"/>
      <c r="BK48" s="63"/>
      <c r="BL48" s="63"/>
      <c r="BM48" s="63"/>
      <c r="BN48" s="63"/>
      <c r="BO48" s="63"/>
      <c r="BP48" s="63"/>
      <c r="BQ48" s="63"/>
      <c r="BR48" s="63"/>
      <c r="BS48" s="63"/>
      <c r="BT48" s="63"/>
      <c r="BU48" s="63"/>
      <c r="BV48" s="63"/>
      <c r="BW48" s="63"/>
      <c r="BX48" s="63"/>
      <c r="BY48" s="63"/>
      <c r="BZ48" s="63"/>
      <c r="CA48" s="63"/>
      <c r="CB48" s="63"/>
      <c r="CC48" s="63"/>
      <c r="CD48" s="63"/>
      <c r="CE48" s="63"/>
      <c r="CF48" s="63"/>
      <c r="CG48" s="63"/>
      <c r="CH48" s="63"/>
      <c r="CI48" s="63"/>
      <c r="CJ48" s="63"/>
      <c r="CK48" s="63"/>
      <c r="CL48" s="63"/>
      <c r="CM48" s="63"/>
      <c r="CN48" s="63"/>
      <c r="CO48" s="63"/>
      <c r="CP48" s="63"/>
      <c r="CQ48" s="63"/>
      <c r="CR48" s="63"/>
      <c r="CS48" s="63"/>
      <c r="CT48" s="63"/>
      <c r="CU48" s="63"/>
      <c r="CV48" s="63"/>
      <c r="CW48" s="63"/>
      <c r="CX48" s="63"/>
      <c r="CY48" s="63"/>
      <c r="CZ48" s="63"/>
      <c r="DA48" s="63"/>
      <c r="DB48" s="63"/>
      <c r="DC48" s="63"/>
      <c r="DD48" s="63"/>
      <c r="DE48" s="63"/>
      <c r="DF48" s="63"/>
      <c r="DG48" s="63"/>
      <c r="DH48" s="63"/>
      <c r="DI48" s="63"/>
      <c r="DJ48" s="63"/>
      <c r="DK48" s="63"/>
      <c r="DL48" s="63"/>
      <c r="DM48" s="63"/>
      <c r="DN48" s="63"/>
      <c r="DO48" s="63"/>
      <c r="DP48" s="63"/>
      <c r="DQ48" s="63"/>
      <c r="DR48" s="63"/>
      <c r="DS48" s="63"/>
      <c r="DT48" s="63"/>
      <c r="DU48" s="63"/>
      <c r="DV48" s="63"/>
      <c r="DW48" s="63"/>
      <c r="DX48" s="63"/>
      <c r="DY48" s="63"/>
      <c r="DZ48" s="63"/>
      <c r="EA48" s="63"/>
      <c r="EB48" s="63"/>
      <c r="EC48" s="63"/>
      <c r="ED48" s="63"/>
      <c r="EE48" s="63"/>
      <c r="EF48" s="63"/>
      <c r="EG48" s="63"/>
      <c r="EH48" s="63"/>
      <c r="EI48" s="63"/>
      <c r="EJ48" s="63"/>
      <c r="EK48" s="63"/>
      <c r="EL48" s="63"/>
      <c r="EM48" s="63"/>
      <c r="EN48" s="63"/>
      <c r="EO48" s="63"/>
      <c r="EP48" s="63"/>
      <c r="EQ48" s="63"/>
      <c r="ER48" s="63"/>
      <c r="ES48" s="63"/>
      <c r="ET48" s="63"/>
      <c r="EU48" s="63"/>
      <c r="EV48" s="63"/>
      <c r="EW48" s="63"/>
      <c r="EX48" s="63"/>
      <c r="EY48" s="63"/>
      <c r="EZ48" s="63"/>
      <c r="FA48" s="63"/>
      <c r="FB48" s="63"/>
      <c r="FC48" s="63"/>
      <c r="FD48" s="63"/>
      <c r="FE48" s="63"/>
      <c r="FF48" s="63"/>
      <c r="FG48" s="63"/>
      <c r="FH48" s="63"/>
      <c r="FI48" s="63"/>
      <c r="FJ48" s="63"/>
      <c r="FK48" s="63"/>
      <c r="FL48" s="63"/>
    </row>
    <row r="49" spans="1:168" ht="18.75" x14ac:dyDescent="0.3">
      <c r="A49" s="63"/>
      <c r="B49" s="99"/>
      <c r="C49" s="96"/>
      <c r="D49" s="122" t="s">
        <v>7</v>
      </c>
      <c r="E49" s="122"/>
      <c r="F49" s="104">
        <f>'Total reduction visuals'!N19</f>
        <v>1</v>
      </c>
      <c r="G49" s="98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63"/>
      <c r="AV49" s="63"/>
      <c r="AW49" s="63"/>
      <c r="AX49" s="63"/>
      <c r="AY49" s="63"/>
      <c r="AZ49" s="63"/>
      <c r="BA49" s="63"/>
      <c r="BB49" s="63"/>
      <c r="BC49" s="63"/>
      <c r="BD49" s="63"/>
      <c r="BE49" s="63"/>
      <c r="BF49" s="63"/>
      <c r="BG49" s="63"/>
      <c r="BH49" s="63"/>
      <c r="BI49" s="63"/>
      <c r="BJ49" s="63"/>
      <c r="BK49" s="63"/>
      <c r="BL49" s="63"/>
      <c r="BM49" s="63"/>
      <c r="BN49" s="63"/>
      <c r="BO49" s="63"/>
      <c r="BP49" s="63"/>
      <c r="BQ49" s="63"/>
      <c r="BR49" s="63"/>
      <c r="BS49" s="63"/>
      <c r="BT49" s="63"/>
      <c r="BU49" s="63"/>
      <c r="BV49" s="63"/>
      <c r="BW49" s="63"/>
      <c r="BX49" s="63"/>
      <c r="BY49" s="63"/>
      <c r="BZ49" s="63"/>
      <c r="CA49" s="63"/>
      <c r="CB49" s="63"/>
      <c r="CC49" s="63"/>
      <c r="CD49" s="63"/>
      <c r="CE49" s="63"/>
      <c r="CF49" s="63"/>
      <c r="CG49" s="63"/>
      <c r="CH49" s="63"/>
      <c r="CI49" s="63"/>
      <c r="CJ49" s="63"/>
      <c r="CK49" s="63"/>
      <c r="CL49" s="63"/>
      <c r="CM49" s="63"/>
      <c r="CN49" s="63"/>
      <c r="CO49" s="63"/>
      <c r="CP49" s="63"/>
      <c r="CQ49" s="63"/>
      <c r="CR49" s="63"/>
      <c r="CS49" s="63"/>
      <c r="CT49" s="63"/>
      <c r="CU49" s="63"/>
      <c r="CV49" s="63"/>
      <c r="CW49" s="63"/>
      <c r="CX49" s="63"/>
      <c r="CY49" s="63"/>
      <c r="CZ49" s="63"/>
      <c r="DA49" s="63"/>
      <c r="DB49" s="63"/>
      <c r="DC49" s="63"/>
      <c r="DD49" s="63"/>
      <c r="DE49" s="63"/>
      <c r="DF49" s="63"/>
      <c r="DG49" s="63"/>
      <c r="DH49" s="63"/>
      <c r="DI49" s="63"/>
      <c r="DJ49" s="63"/>
      <c r="DK49" s="63"/>
      <c r="DL49" s="63"/>
      <c r="DM49" s="63"/>
      <c r="DN49" s="63"/>
      <c r="DO49" s="63"/>
      <c r="DP49" s="63"/>
      <c r="DQ49" s="63"/>
      <c r="DR49" s="63"/>
      <c r="DS49" s="63"/>
      <c r="DT49" s="63"/>
      <c r="DU49" s="63"/>
      <c r="DV49" s="63"/>
      <c r="DW49" s="63"/>
      <c r="DX49" s="63"/>
      <c r="DY49" s="63"/>
      <c r="DZ49" s="63"/>
      <c r="EA49" s="63"/>
      <c r="EB49" s="63"/>
      <c r="EC49" s="63"/>
      <c r="ED49" s="63"/>
      <c r="EE49" s="63"/>
      <c r="EF49" s="63"/>
      <c r="EG49" s="63"/>
      <c r="EH49" s="63"/>
      <c r="EI49" s="63"/>
      <c r="EJ49" s="63"/>
      <c r="EK49" s="63"/>
      <c r="EL49" s="63"/>
      <c r="EM49" s="63"/>
      <c r="EN49" s="63"/>
      <c r="EO49" s="63"/>
      <c r="EP49" s="63"/>
      <c r="EQ49" s="63"/>
      <c r="ER49" s="63"/>
      <c r="ES49" s="63"/>
      <c r="ET49" s="63"/>
      <c r="EU49" s="63"/>
      <c r="EV49" s="63"/>
      <c r="EW49" s="63"/>
      <c r="EX49" s="63"/>
      <c r="EY49" s="63"/>
      <c r="EZ49" s="63"/>
      <c r="FA49" s="63"/>
      <c r="FB49" s="63"/>
      <c r="FC49" s="63"/>
      <c r="FD49" s="63"/>
      <c r="FE49" s="63"/>
      <c r="FF49" s="63"/>
      <c r="FG49" s="63"/>
      <c r="FH49" s="63"/>
      <c r="FI49" s="63"/>
      <c r="FJ49" s="63"/>
      <c r="FK49" s="63"/>
      <c r="FL49" s="63"/>
    </row>
    <row r="50" spans="1:168" ht="18.75" x14ac:dyDescent="0.3">
      <c r="A50" s="63"/>
      <c r="B50" s="101"/>
      <c r="C50" s="102"/>
      <c r="D50" s="102"/>
      <c r="E50" s="102"/>
      <c r="F50" s="107"/>
      <c r="G50" s="10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3"/>
      <c r="AX50" s="63"/>
      <c r="AY50" s="63"/>
      <c r="AZ50" s="63"/>
      <c r="BA50" s="63"/>
      <c r="BB50" s="63"/>
      <c r="BC50" s="63"/>
      <c r="BD50" s="63"/>
      <c r="BE50" s="63"/>
      <c r="BF50" s="63"/>
      <c r="BG50" s="63"/>
      <c r="BH50" s="63"/>
      <c r="BI50" s="63"/>
      <c r="BJ50" s="63"/>
      <c r="BK50" s="63"/>
      <c r="BL50" s="63"/>
      <c r="BM50" s="63"/>
      <c r="BN50" s="63"/>
      <c r="BO50" s="63"/>
      <c r="BP50" s="63"/>
      <c r="BQ50" s="63"/>
      <c r="BR50" s="63"/>
      <c r="BS50" s="63"/>
      <c r="BT50" s="63"/>
      <c r="BU50" s="63"/>
      <c r="BV50" s="63"/>
      <c r="BW50" s="63"/>
      <c r="BX50" s="63"/>
      <c r="BY50" s="63"/>
      <c r="BZ50" s="63"/>
      <c r="CA50" s="63"/>
      <c r="CB50" s="63"/>
      <c r="CC50" s="63"/>
      <c r="CD50" s="63"/>
      <c r="CE50" s="63"/>
      <c r="CF50" s="63"/>
      <c r="CG50" s="63"/>
      <c r="CH50" s="63"/>
      <c r="CI50" s="63"/>
      <c r="CJ50" s="63"/>
      <c r="CK50" s="63"/>
      <c r="CL50" s="63"/>
      <c r="CM50" s="63"/>
      <c r="CN50" s="63"/>
      <c r="CO50" s="63"/>
      <c r="CP50" s="63"/>
      <c r="CQ50" s="63"/>
      <c r="CR50" s="63"/>
      <c r="CS50" s="63"/>
      <c r="CT50" s="63"/>
      <c r="CU50" s="63"/>
      <c r="CV50" s="63"/>
      <c r="CW50" s="63"/>
      <c r="CX50" s="63"/>
      <c r="CY50" s="63"/>
      <c r="CZ50" s="63"/>
      <c r="DA50" s="63"/>
      <c r="DB50" s="63"/>
      <c r="DC50" s="63"/>
      <c r="DD50" s="63"/>
      <c r="DE50" s="63"/>
      <c r="DF50" s="63"/>
      <c r="DG50" s="63"/>
      <c r="DH50" s="63"/>
      <c r="DI50" s="63"/>
      <c r="DJ50" s="63"/>
      <c r="DK50" s="63"/>
      <c r="DL50" s="63"/>
      <c r="DM50" s="63"/>
      <c r="DN50" s="63"/>
      <c r="DO50" s="63"/>
      <c r="DP50" s="63"/>
      <c r="DQ50" s="63"/>
      <c r="DR50" s="63"/>
      <c r="DS50" s="63"/>
      <c r="DT50" s="63"/>
      <c r="DU50" s="63"/>
      <c r="DV50" s="63"/>
      <c r="DW50" s="63"/>
      <c r="DX50" s="63"/>
      <c r="DY50" s="63"/>
      <c r="DZ50" s="63"/>
      <c r="EA50" s="63"/>
      <c r="EB50" s="63"/>
      <c r="EC50" s="63"/>
      <c r="ED50" s="63"/>
      <c r="EE50" s="63"/>
      <c r="EF50" s="63"/>
      <c r="EG50" s="63"/>
      <c r="EH50" s="63"/>
      <c r="EI50" s="63"/>
      <c r="EJ50" s="63"/>
      <c r="EK50" s="63"/>
      <c r="EL50" s="63"/>
      <c r="EM50" s="63"/>
      <c r="EN50" s="63"/>
      <c r="EO50" s="63"/>
      <c r="EP50" s="63"/>
      <c r="EQ50" s="63"/>
      <c r="ER50" s="63"/>
      <c r="ES50" s="63"/>
      <c r="ET50" s="63"/>
      <c r="EU50" s="63"/>
      <c r="EV50" s="63"/>
      <c r="EW50" s="63"/>
      <c r="EX50" s="63"/>
      <c r="EY50" s="63"/>
      <c r="EZ50" s="63"/>
      <c r="FA50" s="63"/>
      <c r="FB50" s="63"/>
      <c r="FC50" s="63"/>
      <c r="FD50" s="63"/>
      <c r="FE50" s="63"/>
      <c r="FF50" s="63"/>
      <c r="FG50" s="63"/>
      <c r="FH50" s="63"/>
      <c r="FI50" s="63"/>
      <c r="FJ50" s="63"/>
      <c r="FK50" s="63"/>
      <c r="FL50" s="63"/>
    </row>
    <row r="51" spans="1:168" ht="18.75" x14ac:dyDescent="0.3">
      <c r="A51" s="63"/>
      <c r="B51" s="120" t="s">
        <v>12</v>
      </c>
      <c r="C51" s="121"/>
      <c r="D51" s="121"/>
      <c r="E51" s="63"/>
      <c r="F51" s="110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BH51" s="63"/>
      <c r="BI51" s="63"/>
      <c r="BJ51" s="63"/>
      <c r="BK51" s="63"/>
      <c r="BL51" s="63"/>
      <c r="BM51" s="63"/>
      <c r="BN51" s="63"/>
      <c r="BO51" s="63"/>
      <c r="BP51" s="63"/>
      <c r="BQ51" s="63"/>
      <c r="BR51" s="63"/>
      <c r="BS51" s="63"/>
      <c r="BT51" s="63"/>
      <c r="BU51" s="63"/>
      <c r="BV51" s="63"/>
      <c r="BW51" s="63"/>
      <c r="BX51" s="63"/>
      <c r="BY51" s="63"/>
      <c r="BZ51" s="63"/>
      <c r="CA51" s="63"/>
      <c r="CB51" s="63"/>
      <c r="CC51" s="63"/>
      <c r="CD51" s="63"/>
      <c r="CE51" s="63"/>
      <c r="CF51" s="63"/>
      <c r="CG51" s="63"/>
      <c r="CH51" s="63"/>
      <c r="CI51" s="63"/>
      <c r="CJ51" s="63"/>
      <c r="CK51" s="63"/>
      <c r="CL51" s="63"/>
      <c r="CM51" s="63"/>
      <c r="CN51" s="63"/>
      <c r="CO51" s="63"/>
      <c r="CP51" s="63"/>
      <c r="CQ51" s="63"/>
      <c r="CR51" s="63"/>
      <c r="CS51" s="63"/>
      <c r="CT51" s="63"/>
      <c r="CU51" s="63"/>
      <c r="CV51" s="63"/>
      <c r="CW51" s="63"/>
      <c r="CX51" s="63"/>
      <c r="CY51" s="63"/>
      <c r="CZ51" s="63"/>
      <c r="DA51" s="63"/>
      <c r="DB51" s="63"/>
      <c r="DC51" s="63"/>
      <c r="DD51" s="63"/>
      <c r="DE51" s="63"/>
      <c r="DF51" s="63"/>
      <c r="DG51" s="63"/>
      <c r="DH51" s="63"/>
      <c r="DI51" s="63"/>
      <c r="DJ51" s="63"/>
      <c r="DK51" s="63"/>
      <c r="DL51" s="63"/>
      <c r="DM51" s="63"/>
      <c r="DN51" s="63"/>
      <c r="DO51" s="63"/>
      <c r="DP51" s="63"/>
      <c r="DQ51" s="63"/>
      <c r="DR51" s="63"/>
      <c r="DS51" s="63"/>
      <c r="DT51" s="63"/>
      <c r="DU51" s="63"/>
      <c r="DV51" s="63"/>
      <c r="DW51" s="63"/>
      <c r="DX51" s="63"/>
      <c r="DY51" s="63"/>
      <c r="DZ51" s="63"/>
      <c r="EA51" s="63"/>
      <c r="EB51" s="63"/>
      <c r="EC51" s="63"/>
      <c r="ED51" s="63"/>
      <c r="EE51" s="63"/>
      <c r="EF51" s="63"/>
      <c r="EG51" s="63"/>
      <c r="EH51" s="63"/>
      <c r="EI51" s="63"/>
      <c r="EJ51" s="63"/>
      <c r="EK51" s="63"/>
      <c r="EL51" s="63"/>
      <c r="EM51" s="63"/>
      <c r="EN51" s="63"/>
      <c r="EO51" s="63"/>
      <c r="EP51" s="63"/>
      <c r="EQ51" s="63"/>
      <c r="ER51" s="63"/>
      <c r="ES51" s="63"/>
      <c r="ET51" s="63"/>
      <c r="EU51" s="63"/>
      <c r="EV51" s="63"/>
      <c r="EW51" s="63"/>
      <c r="EX51" s="63"/>
      <c r="EY51" s="63"/>
      <c r="EZ51" s="63"/>
      <c r="FA51" s="63"/>
      <c r="FB51" s="63"/>
      <c r="FC51" s="63"/>
      <c r="FD51" s="63"/>
      <c r="FE51" s="63"/>
      <c r="FF51" s="63"/>
      <c r="FG51" s="63"/>
      <c r="FH51" s="63"/>
      <c r="FI51" s="63"/>
      <c r="FJ51" s="63"/>
      <c r="FK51" s="63"/>
      <c r="FL51" s="63"/>
    </row>
    <row r="52" spans="1:168" ht="18.75" x14ac:dyDescent="0.3">
      <c r="A52" s="63"/>
      <c r="B52" s="121"/>
      <c r="C52" s="121"/>
      <c r="D52" s="121"/>
      <c r="E52" s="63"/>
      <c r="F52" s="110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63"/>
      <c r="AV52" s="63"/>
      <c r="AW52" s="63"/>
      <c r="AX52" s="63"/>
      <c r="AY52" s="63"/>
      <c r="AZ52" s="63"/>
      <c r="BA52" s="63"/>
      <c r="BB52" s="63"/>
      <c r="BC52" s="63"/>
      <c r="BD52" s="63"/>
      <c r="BE52" s="63"/>
      <c r="BF52" s="63"/>
      <c r="BG52" s="63"/>
      <c r="BH52" s="63"/>
      <c r="BI52" s="63"/>
      <c r="BJ52" s="63"/>
      <c r="BK52" s="63"/>
      <c r="BL52" s="63"/>
      <c r="BM52" s="63"/>
      <c r="BN52" s="63"/>
      <c r="BO52" s="63"/>
      <c r="BP52" s="63"/>
      <c r="BQ52" s="63"/>
      <c r="BR52" s="63"/>
      <c r="BS52" s="63"/>
      <c r="BT52" s="63"/>
      <c r="BU52" s="63"/>
      <c r="BV52" s="63"/>
      <c r="BW52" s="63"/>
      <c r="BX52" s="63"/>
      <c r="BY52" s="63"/>
      <c r="BZ52" s="63"/>
      <c r="CA52" s="63"/>
      <c r="CB52" s="63"/>
      <c r="CC52" s="63"/>
      <c r="CD52" s="63"/>
      <c r="CE52" s="63"/>
      <c r="CF52" s="63"/>
      <c r="CG52" s="63"/>
      <c r="CH52" s="63"/>
      <c r="CI52" s="63"/>
      <c r="CJ52" s="63"/>
      <c r="CK52" s="63"/>
      <c r="CL52" s="63"/>
      <c r="CM52" s="63"/>
      <c r="CN52" s="63"/>
      <c r="CO52" s="63"/>
      <c r="CP52" s="63"/>
      <c r="CQ52" s="63"/>
      <c r="CR52" s="63"/>
      <c r="CS52" s="63"/>
      <c r="CT52" s="63"/>
      <c r="CU52" s="63"/>
      <c r="CV52" s="63"/>
      <c r="CW52" s="63"/>
      <c r="CX52" s="63"/>
      <c r="CY52" s="63"/>
      <c r="CZ52" s="63"/>
      <c r="DA52" s="63"/>
      <c r="DB52" s="63"/>
      <c r="DC52" s="63"/>
      <c r="DD52" s="63"/>
      <c r="DE52" s="63"/>
      <c r="DF52" s="63"/>
      <c r="DG52" s="63"/>
      <c r="DH52" s="63"/>
      <c r="DI52" s="63"/>
      <c r="DJ52" s="63"/>
      <c r="DK52" s="63"/>
      <c r="DL52" s="63"/>
      <c r="DM52" s="63"/>
      <c r="DN52" s="63"/>
      <c r="DO52" s="63"/>
      <c r="DP52" s="63"/>
      <c r="DQ52" s="63"/>
      <c r="DR52" s="63"/>
      <c r="DS52" s="63"/>
      <c r="DT52" s="63"/>
      <c r="DU52" s="63"/>
      <c r="DV52" s="63"/>
      <c r="DW52" s="63"/>
      <c r="DX52" s="63"/>
      <c r="DY52" s="63"/>
      <c r="DZ52" s="63"/>
      <c r="EA52" s="63"/>
      <c r="EB52" s="63"/>
      <c r="EC52" s="63"/>
      <c r="ED52" s="63"/>
      <c r="EE52" s="63"/>
      <c r="EF52" s="63"/>
      <c r="EG52" s="63"/>
      <c r="EH52" s="63"/>
      <c r="EI52" s="63"/>
      <c r="EJ52" s="63"/>
      <c r="EK52" s="63"/>
      <c r="EL52" s="63"/>
      <c r="EM52" s="63"/>
      <c r="EN52" s="63"/>
      <c r="EO52" s="63"/>
      <c r="EP52" s="63"/>
      <c r="EQ52" s="63"/>
      <c r="ER52" s="63"/>
      <c r="ES52" s="63"/>
      <c r="ET52" s="63"/>
      <c r="EU52" s="63"/>
      <c r="EV52" s="63"/>
      <c r="EW52" s="63"/>
      <c r="EX52" s="63"/>
      <c r="EY52" s="63"/>
      <c r="EZ52" s="63"/>
      <c r="FA52" s="63"/>
      <c r="FB52" s="63"/>
      <c r="FC52" s="63"/>
      <c r="FD52" s="63"/>
      <c r="FE52" s="63"/>
      <c r="FF52" s="63"/>
      <c r="FG52" s="63"/>
      <c r="FH52" s="63"/>
      <c r="FI52" s="63"/>
      <c r="FJ52" s="63"/>
      <c r="FK52" s="63"/>
      <c r="FL52" s="63"/>
    </row>
    <row r="53" spans="1:168" ht="18.75" x14ac:dyDescent="0.3">
      <c r="A53" s="63"/>
      <c r="B53" s="91"/>
      <c r="C53" s="92"/>
      <c r="D53" s="92"/>
      <c r="E53" s="92"/>
      <c r="F53" s="108"/>
      <c r="G53" s="9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63"/>
      <c r="BA53" s="63"/>
      <c r="BB53" s="63"/>
      <c r="BC53" s="63"/>
      <c r="BD53" s="63"/>
      <c r="BE53" s="63"/>
      <c r="BF53" s="63"/>
      <c r="BG53" s="63"/>
      <c r="BH53" s="63"/>
      <c r="BI53" s="63"/>
      <c r="BJ53" s="63"/>
      <c r="BK53" s="63"/>
      <c r="BL53" s="63"/>
      <c r="BM53" s="63"/>
      <c r="BN53" s="63"/>
      <c r="BO53" s="63"/>
      <c r="BP53" s="63"/>
      <c r="BQ53" s="63"/>
      <c r="BR53" s="63"/>
      <c r="BS53" s="63"/>
      <c r="BT53" s="63"/>
      <c r="BU53" s="63"/>
      <c r="BV53" s="63"/>
      <c r="BW53" s="63"/>
      <c r="BX53" s="63"/>
      <c r="BY53" s="63"/>
      <c r="BZ53" s="63"/>
      <c r="CA53" s="63"/>
      <c r="CB53" s="63"/>
      <c r="CC53" s="63"/>
      <c r="CD53" s="63"/>
      <c r="CE53" s="63"/>
      <c r="CF53" s="63"/>
      <c r="CG53" s="63"/>
      <c r="CH53" s="63"/>
      <c r="CI53" s="63"/>
      <c r="CJ53" s="63"/>
      <c r="CK53" s="63"/>
      <c r="CL53" s="63"/>
      <c r="CM53" s="63"/>
      <c r="CN53" s="63"/>
      <c r="CO53" s="63"/>
      <c r="CP53" s="63"/>
      <c r="CQ53" s="63"/>
      <c r="CR53" s="63"/>
      <c r="CS53" s="63"/>
      <c r="CT53" s="63"/>
      <c r="CU53" s="63"/>
      <c r="CV53" s="63"/>
      <c r="CW53" s="63"/>
      <c r="CX53" s="63"/>
      <c r="CY53" s="63"/>
      <c r="CZ53" s="63"/>
      <c r="DA53" s="63"/>
      <c r="DB53" s="63"/>
      <c r="DC53" s="63"/>
      <c r="DD53" s="63"/>
      <c r="DE53" s="63"/>
      <c r="DF53" s="63"/>
      <c r="DG53" s="63"/>
      <c r="DH53" s="63"/>
      <c r="DI53" s="63"/>
      <c r="DJ53" s="63"/>
      <c r="DK53" s="63"/>
      <c r="DL53" s="63"/>
      <c r="DM53" s="63"/>
      <c r="DN53" s="63"/>
      <c r="DO53" s="63"/>
      <c r="DP53" s="63"/>
      <c r="DQ53" s="63"/>
      <c r="DR53" s="63"/>
      <c r="DS53" s="63"/>
      <c r="DT53" s="63"/>
      <c r="DU53" s="63"/>
      <c r="DV53" s="63"/>
      <c r="DW53" s="63"/>
      <c r="DX53" s="63"/>
      <c r="DY53" s="63"/>
      <c r="DZ53" s="63"/>
      <c r="EA53" s="63"/>
      <c r="EB53" s="63"/>
      <c r="EC53" s="63"/>
      <c r="ED53" s="63"/>
      <c r="EE53" s="63"/>
      <c r="EF53" s="63"/>
      <c r="EG53" s="63"/>
      <c r="EH53" s="63"/>
      <c r="EI53" s="63"/>
      <c r="EJ53" s="63"/>
      <c r="EK53" s="63"/>
      <c r="EL53" s="63"/>
      <c r="EM53" s="63"/>
      <c r="EN53" s="63"/>
      <c r="EO53" s="63"/>
      <c r="EP53" s="63"/>
      <c r="EQ53" s="63"/>
      <c r="ER53" s="63"/>
      <c r="ES53" s="63"/>
      <c r="ET53" s="63"/>
      <c r="EU53" s="63"/>
      <c r="EV53" s="63"/>
      <c r="EW53" s="63"/>
      <c r="EX53" s="63"/>
      <c r="EY53" s="63"/>
      <c r="EZ53" s="63"/>
      <c r="FA53" s="63"/>
      <c r="FB53" s="63"/>
      <c r="FC53" s="63"/>
      <c r="FD53" s="63"/>
      <c r="FE53" s="63"/>
      <c r="FF53" s="63"/>
      <c r="FG53" s="63"/>
      <c r="FH53" s="63"/>
      <c r="FI53" s="63"/>
      <c r="FJ53" s="63"/>
      <c r="FK53" s="63"/>
      <c r="FL53" s="63"/>
    </row>
    <row r="54" spans="1:168" ht="18.75" x14ac:dyDescent="0.3">
      <c r="A54" s="63"/>
      <c r="B54" s="94" t="s">
        <v>4</v>
      </c>
      <c r="C54" s="95" t="s">
        <v>13</v>
      </c>
      <c r="D54" s="96"/>
      <c r="E54" s="96"/>
      <c r="F54" s="104"/>
      <c r="G54" s="98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BH54" s="63"/>
      <c r="BI54" s="63"/>
      <c r="BJ54" s="63"/>
      <c r="BK54" s="63"/>
      <c r="BL54" s="63"/>
      <c r="BM54" s="63"/>
      <c r="BN54" s="63"/>
      <c r="BO54" s="63"/>
      <c r="BP54" s="63"/>
      <c r="BQ54" s="63"/>
      <c r="BR54" s="63"/>
      <c r="BS54" s="63"/>
      <c r="BT54" s="63"/>
      <c r="BU54" s="63"/>
      <c r="BV54" s="63"/>
      <c r="BW54" s="63"/>
      <c r="BX54" s="63"/>
      <c r="BY54" s="63"/>
      <c r="BZ54" s="63"/>
      <c r="CA54" s="63"/>
      <c r="CB54" s="63"/>
      <c r="CC54" s="63"/>
      <c r="CD54" s="63"/>
      <c r="CE54" s="63"/>
      <c r="CF54" s="63"/>
      <c r="CG54" s="63"/>
      <c r="CH54" s="63"/>
      <c r="CI54" s="63"/>
      <c r="CJ54" s="63"/>
      <c r="CK54" s="63"/>
      <c r="CL54" s="63"/>
      <c r="CM54" s="63"/>
      <c r="CN54" s="63"/>
      <c r="CO54" s="63"/>
      <c r="CP54" s="63"/>
      <c r="CQ54" s="63"/>
      <c r="CR54" s="63"/>
      <c r="CS54" s="63"/>
      <c r="CT54" s="63"/>
      <c r="CU54" s="63"/>
      <c r="CV54" s="63"/>
      <c r="CW54" s="63"/>
      <c r="CX54" s="63"/>
      <c r="CY54" s="63"/>
      <c r="CZ54" s="63"/>
      <c r="DA54" s="63"/>
      <c r="DB54" s="63"/>
      <c r="DC54" s="63"/>
      <c r="DD54" s="63"/>
      <c r="DE54" s="63"/>
      <c r="DF54" s="63"/>
      <c r="DG54" s="63"/>
      <c r="DH54" s="63"/>
      <c r="DI54" s="63"/>
      <c r="DJ54" s="63"/>
      <c r="DK54" s="63"/>
      <c r="DL54" s="63"/>
      <c r="DM54" s="63"/>
      <c r="DN54" s="63"/>
      <c r="DO54" s="63"/>
      <c r="DP54" s="63"/>
      <c r="DQ54" s="63"/>
      <c r="DR54" s="63"/>
      <c r="DS54" s="63"/>
      <c r="DT54" s="63"/>
      <c r="DU54" s="63"/>
      <c r="DV54" s="63"/>
      <c r="DW54" s="63"/>
      <c r="DX54" s="63"/>
      <c r="DY54" s="63"/>
      <c r="DZ54" s="63"/>
      <c r="EA54" s="63"/>
      <c r="EB54" s="63"/>
      <c r="EC54" s="63"/>
      <c r="ED54" s="63"/>
      <c r="EE54" s="63"/>
      <c r="EF54" s="63"/>
      <c r="EG54" s="63"/>
      <c r="EH54" s="63"/>
      <c r="EI54" s="63"/>
      <c r="EJ54" s="63"/>
      <c r="EK54" s="63"/>
      <c r="EL54" s="63"/>
      <c r="EM54" s="63"/>
      <c r="EN54" s="63"/>
      <c r="EO54" s="63"/>
      <c r="EP54" s="63"/>
      <c r="EQ54" s="63"/>
      <c r="ER54" s="63"/>
      <c r="ES54" s="63"/>
      <c r="ET54" s="63"/>
      <c r="EU54" s="63"/>
      <c r="EV54" s="63"/>
      <c r="EW54" s="63"/>
      <c r="EX54" s="63"/>
      <c r="EY54" s="63"/>
      <c r="EZ54" s="63"/>
      <c r="FA54" s="63"/>
      <c r="FB54" s="63"/>
      <c r="FC54" s="63"/>
      <c r="FD54" s="63"/>
      <c r="FE54" s="63"/>
      <c r="FF54" s="63"/>
      <c r="FG54" s="63"/>
      <c r="FH54" s="63"/>
      <c r="FI54" s="63"/>
      <c r="FJ54" s="63"/>
      <c r="FK54" s="63"/>
      <c r="FL54" s="63"/>
    </row>
    <row r="55" spans="1:168" ht="18.75" x14ac:dyDescent="0.3">
      <c r="A55" s="63"/>
      <c r="B55" s="99"/>
      <c r="C55" s="96"/>
      <c r="D55" s="96"/>
      <c r="E55" s="96"/>
      <c r="F55" s="105"/>
      <c r="G55" s="98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BH55" s="63"/>
      <c r="BI55" s="63"/>
      <c r="BJ55" s="63"/>
      <c r="BK55" s="63"/>
      <c r="BL55" s="63"/>
      <c r="BM55" s="63"/>
      <c r="BN55" s="63"/>
      <c r="BO55" s="63"/>
      <c r="BP55" s="63"/>
      <c r="BQ55" s="63"/>
      <c r="BR55" s="63"/>
      <c r="BS55" s="63"/>
      <c r="BT55" s="63"/>
      <c r="BU55" s="63"/>
      <c r="BV55" s="63"/>
      <c r="BW55" s="63"/>
      <c r="BX55" s="63"/>
      <c r="BY55" s="63"/>
      <c r="BZ55" s="63"/>
      <c r="CA55" s="63"/>
      <c r="CB55" s="63"/>
      <c r="CC55" s="63"/>
      <c r="CD55" s="63"/>
      <c r="CE55" s="63"/>
      <c r="CF55" s="63"/>
      <c r="CG55" s="63"/>
      <c r="CH55" s="63"/>
      <c r="CI55" s="63"/>
      <c r="CJ55" s="63"/>
      <c r="CK55" s="63"/>
      <c r="CL55" s="63"/>
      <c r="CM55" s="63"/>
      <c r="CN55" s="63"/>
      <c r="CO55" s="63"/>
      <c r="CP55" s="63"/>
      <c r="CQ55" s="63"/>
      <c r="CR55" s="63"/>
      <c r="CS55" s="63"/>
      <c r="CT55" s="63"/>
      <c r="CU55" s="63"/>
      <c r="CV55" s="63"/>
      <c r="CW55" s="63"/>
      <c r="CX55" s="63"/>
      <c r="CY55" s="63"/>
      <c r="CZ55" s="63"/>
      <c r="DA55" s="63"/>
      <c r="DB55" s="63"/>
      <c r="DC55" s="63"/>
      <c r="DD55" s="63"/>
      <c r="DE55" s="63"/>
      <c r="DF55" s="63"/>
      <c r="DG55" s="63"/>
      <c r="DH55" s="63"/>
      <c r="DI55" s="63"/>
      <c r="DJ55" s="63"/>
      <c r="DK55" s="63"/>
      <c r="DL55" s="63"/>
      <c r="DM55" s="63"/>
      <c r="DN55" s="63"/>
      <c r="DO55" s="63"/>
      <c r="DP55" s="63"/>
      <c r="DQ55" s="63"/>
      <c r="DR55" s="63"/>
      <c r="DS55" s="63"/>
      <c r="DT55" s="63"/>
      <c r="DU55" s="63"/>
      <c r="DV55" s="63"/>
      <c r="DW55" s="63"/>
      <c r="DX55" s="63"/>
      <c r="DY55" s="63"/>
      <c r="DZ55" s="63"/>
      <c r="EA55" s="63"/>
      <c r="EB55" s="63"/>
      <c r="EC55" s="63"/>
      <c r="ED55" s="63"/>
      <c r="EE55" s="63"/>
      <c r="EF55" s="63"/>
      <c r="EG55" s="63"/>
      <c r="EH55" s="63"/>
      <c r="EI55" s="63"/>
      <c r="EJ55" s="63"/>
      <c r="EK55" s="63"/>
      <c r="EL55" s="63"/>
      <c r="EM55" s="63"/>
      <c r="EN55" s="63"/>
      <c r="EO55" s="63"/>
      <c r="EP55" s="63"/>
      <c r="EQ55" s="63"/>
      <c r="ER55" s="63"/>
      <c r="ES55" s="63"/>
      <c r="ET55" s="63"/>
      <c r="EU55" s="63"/>
      <c r="EV55" s="63"/>
      <c r="EW55" s="63"/>
      <c r="EX55" s="63"/>
      <c r="EY55" s="63"/>
      <c r="EZ55" s="63"/>
      <c r="FA55" s="63"/>
      <c r="FB55" s="63"/>
      <c r="FC55" s="63"/>
      <c r="FD55" s="63"/>
      <c r="FE55" s="63"/>
      <c r="FF55" s="63"/>
      <c r="FG55" s="63"/>
      <c r="FH55" s="63"/>
      <c r="FI55" s="63"/>
      <c r="FJ55" s="63"/>
      <c r="FK55" s="63"/>
      <c r="FL55" s="63"/>
    </row>
    <row r="56" spans="1:168" ht="18.75" x14ac:dyDescent="0.3">
      <c r="A56" s="63"/>
      <c r="B56" s="99"/>
      <c r="C56" s="96"/>
      <c r="D56" s="109" t="s">
        <v>6</v>
      </c>
      <c r="E56" s="109"/>
      <c r="F56" s="105">
        <f>'Total reduction visuals'!N25</f>
        <v>1</v>
      </c>
      <c r="G56" s="98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63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63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63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63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63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  <c r="DZ56" s="63"/>
      <c r="EA56" s="63"/>
      <c r="EB56" s="63"/>
      <c r="EC56" s="63"/>
      <c r="ED56" s="63"/>
      <c r="EE56" s="63"/>
      <c r="EF56" s="63"/>
      <c r="EG56" s="63"/>
      <c r="EH56" s="63"/>
      <c r="EI56" s="63"/>
      <c r="EJ56" s="63"/>
      <c r="EK56" s="63"/>
      <c r="EL56" s="63"/>
      <c r="EM56" s="63"/>
      <c r="EN56" s="63"/>
      <c r="EO56" s="63"/>
      <c r="EP56" s="63"/>
      <c r="EQ56" s="63"/>
      <c r="ER56" s="63"/>
      <c r="ES56" s="63"/>
      <c r="ET56" s="63"/>
      <c r="EU56" s="63"/>
      <c r="EV56" s="63"/>
      <c r="EW56" s="63"/>
      <c r="EX56" s="63"/>
      <c r="EY56" s="63"/>
      <c r="EZ56" s="63"/>
      <c r="FA56" s="63"/>
      <c r="FB56" s="63"/>
      <c r="FC56" s="63"/>
      <c r="FD56" s="63"/>
      <c r="FE56" s="63"/>
      <c r="FF56" s="63"/>
      <c r="FG56" s="63"/>
      <c r="FH56" s="63"/>
      <c r="FI56" s="63"/>
      <c r="FJ56" s="63"/>
      <c r="FK56" s="63"/>
      <c r="FL56" s="63"/>
    </row>
    <row r="57" spans="1:168" ht="18.75" x14ac:dyDescent="0.3">
      <c r="A57" s="63"/>
      <c r="B57" s="99"/>
      <c r="C57" s="96"/>
      <c r="D57" s="109" t="s">
        <v>7</v>
      </c>
      <c r="E57" s="109"/>
      <c r="F57" s="105">
        <f>'Total reduction visuals'!N26</f>
        <v>1</v>
      </c>
      <c r="G57" s="98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63"/>
      <c r="AV57" s="63"/>
      <c r="AW57" s="63"/>
      <c r="AX57" s="63"/>
      <c r="AY57" s="63"/>
      <c r="AZ57" s="63"/>
      <c r="BA57" s="63"/>
      <c r="BB57" s="63"/>
      <c r="BC57" s="63"/>
      <c r="BD57" s="63"/>
      <c r="BE57" s="63"/>
      <c r="BF57" s="63"/>
      <c r="BG57" s="63"/>
      <c r="BH57" s="63"/>
      <c r="BI57" s="63"/>
      <c r="BJ57" s="63"/>
      <c r="BK57" s="63"/>
      <c r="BL57" s="63"/>
      <c r="BM57" s="63"/>
      <c r="BN57" s="63"/>
      <c r="BO57" s="63"/>
      <c r="BP57" s="63"/>
      <c r="BQ57" s="63"/>
      <c r="BR57" s="63"/>
      <c r="BS57" s="63"/>
      <c r="BT57" s="63"/>
      <c r="BU57" s="63"/>
      <c r="BV57" s="63"/>
      <c r="BW57" s="63"/>
      <c r="BX57" s="63"/>
      <c r="BY57" s="63"/>
      <c r="BZ57" s="63"/>
      <c r="CA57" s="63"/>
      <c r="CB57" s="63"/>
      <c r="CC57" s="63"/>
      <c r="CD57" s="63"/>
      <c r="CE57" s="63"/>
      <c r="CF57" s="63"/>
      <c r="CG57" s="63"/>
      <c r="CH57" s="63"/>
      <c r="CI57" s="63"/>
      <c r="CJ57" s="63"/>
      <c r="CK57" s="63"/>
      <c r="CL57" s="63"/>
      <c r="CM57" s="63"/>
      <c r="CN57" s="63"/>
      <c r="CO57" s="63"/>
      <c r="CP57" s="63"/>
      <c r="CQ57" s="63"/>
      <c r="CR57" s="63"/>
      <c r="CS57" s="63"/>
      <c r="CT57" s="63"/>
      <c r="CU57" s="63"/>
      <c r="CV57" s="63"/>
      <c r="CW57" s="63"/>
      <c r="CX57" s="63"/>
      <c r="CY57" s="63"/>
      <c r="CZ57" s="63"/>
      <c r="DA57" s="63"/>
      <c r="DB57" s="63"/>
      <c r="DC57" s="63"/>
      <c r="DD57" s="63"/>
      <c r="DE57" s="63"/>
      <c r="DF57" s="63"/>
      <c r="DG57" s="63"/>
      <c r="DH57" s="63"/>
      <c r="DI57" s="63"/>
      <c r="DJ57" s="63"/>
      <c r="DK57" s="63"/>
      <c r="DL57" s="63"/>
      <c r="DM57" s="63"/>
      <c r="DN57" s="63"/>
      <c r="DO57" s="63"/>
      <c r="DP57" s="63"/>
      <c r="DQ57" s="63"/>
      <c r="DR57" s="63"/>
      <c r="DS57" s="63"/>
      <c r="DT57" s="63"/>
      <c r="DU57" s="63"/>
      <c r="DV57" s="63"/>
      <c r="DW57" s="63"/>
      <c r="DX57" s="63"/>
      <c r="DY57" s="63"/>
      <c r="DZ57" s="63"/>
      <c r="EA57" s="63"/>
      <c r="EB57" s="63"/>
      <c r="EC57" s="63"/>
      <c r="ED57" s="63"/>
      <c r="EE57" s="63"/>
      <c r="EF57" s="63"/>
      <c r="EG57" s="63"/>
      <c r="EH57" s="63"/>
      <c r="EI57" s="63"/>
      <c r="EJ57" s="63"/>
      <c r="EK57" s="63"/>
      <c r="EL57" s="63"/>
      <c r="EM57" s="63"/>
      <c r="EN57" s="63"/>
      <c r="EO57" s="63"/>
      <c r="EP57" s="63"/>
      <c r="EQ57" s="63"/>
      <c r="ER57" s="63"/>
      <c r="ES57" s="63"/>
      <c r="ET57" s="63"/>
      <c r="EU57" s="63"/>
      <c r="EV57" s="63"/>
      <c r="EW57" s="63"/>
      <c r="EX57" s="63"/>
      <c r="EY57" s="63"/>
      <c r="EZ57" s="63"/>
      <c r="FA57" s="63"/>
      <c r="FB57" s="63"/>
      <c r="FC57" s="63"/>
      <c r="FD57" s="63"/>
      <c r="FE57" s="63"/>
      <c r="FF57" s="63"/>
      <c r="FG57" s="63"/>
      <c r="FH57" s="63"/>
      <c r="FI57" s="63"/>
      <c r="FJ57" s="63"/>
      <c r="FK57" s="63"/>
      <c r="FL57" s="63"/>
    </row>
    <row r="58" spans="1:168" ht="18.75" x14ac:dyDescent="0.3">
      <c r="A58" s="63"/>
      <c r="B58" s="99"/>
      <c r="C58" s="96"/>
      <c r="D58" s="96"/>
      <c r="E58" s="96"/>
      <c r="F58" s="104"/>
      <c r="G58" s="98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63"/>
      <c r="AV58" s="63"/>
      <c r="AW58" s="63"/>
      <c r="AX58" s="63"/>
      <c r="AY58" s="63"/>
      <c r="AZ58" s="63"/>
      <c r="BA58" s="63"/>
      <c r="BB58" s="63"/>
      <c r="BC58" s="63"/>
      <c r="BD58" s="63"/>
      <c r="BE58" s="63"/>
      <c r="BF58" s="63"/>
      <c r="BG58" s="63"/>
      <c r="BH58" s="63"/>
      <c r="BI58" s="63"/>
      <c r="BJ58" s="63"/>
      <c r="BK58" s="63"/>
      <c r="BL58" s="63"/>
      <c r="BM58" s="63"/>
      <c r="BN58" s="63"/>
      <c r="BO58" s="63"/>
      <c r="BP58" s="63"/>
      <c r="BQ58" s="63"/>
      <c r="BR58" s="63"/>
      <c r="BS58" s="63"/>
      <c r="BT58" s="63"/>
      <c r="BU58" s="63"/>
      <c r="BV58" s="63"/>
      <c r="BW58" s="63"/>
      <c r="BX58" s="63"/>
      <c r="BY58" s="63"/>
      <c r="BZ58" s="63"/>
      <c r="CA58" s="63"/>
      <c r="CB58" s="63"/>
      <c r="CC58" s="63"/>
      <c r="CD58" s="63"/>
      <c r="CE58" s="63"/>
      <c r="CF58" s="63"/>
      <c r="CG58" s="63"/>
      <c r="CH58" s="63"/>
      <c r="CI58" s="63"/>
      <c r="CJ58" s="63"/>
      <c r="CK58" s="63"/>
      <c r="CL58" s="63"/>
      <c r="CM58" s="63"/>
      <c r="CN58" s="63"/>
      <c r="CO58" s="63"/>
      <c r="CP58" s="63"/>
      <c r="CQ58" s="63"/>
      <c r="CR58" s="63"/>
      <c r="CS58" s="63"/>
      <c r="CT58" s="63"/>
      <c r="CU58" s="63"/>
      <c r="CV58" s="63"/>
      <c r="CW58" s="63"/>
      <c r="CX58" s="63"/>
      <c r="CY58" s="63"/>
      <c r="CZ58" s="63"/>
      <c r="DA58" s="63"/>
      <c r="DB58" s="63"/>
      <c r="DC58" s="63"/>
      <c r="DD58" s="63"/>
      <c r="DE58" s="63"/>
      <c r="DF58" s="63"/>
      <c r="DG58" s="63"/>
      <c r="DH58" s="63"/>
      <c r="DI58" s="63"/>
      <c r="DJ58" s="63"/>
      <c r="DK58" s="63"/>
      <c r="DL58" s="63"/>
      <c r="DM58" s="63"/>
      <c r="DN58" s="63"/>
      <c r="DO58" s="63"/>
      <c r="DP58" s="63"/>
      <c r="DQ58" s="63"/>
      <c r="DR58" s="63"/>
      <c r="DS58" s="63"/>
      <c r="DT58" s="63"/>
      <c r="DU58" s="63"/>
      <c r="DV58" s="63"/>
      <c r="DW58" s="63"/>
      <c r="DX58" s="63"/>
      <c r="DY58" s="63"/>
      <c r="DZ58" s="63"/>
      <c r="EA58" s="63"/>
      <c r="EB58" s="63"/>
      <c r="EC58" s="63"/>
      <c r="ED58" s="63"/>
      <c r="EE58" s="63"/>
      <c r="EF58" s="63"/>
      <c r="EG58" s="63"/>
      <c r="EH58" s="63"/>
      <c r="EI58" s="63"/>
      <c r="EJ58" s="63"/>
      <c r="EK58" s="63"/>
      <c r="EL58" s="63"/>
      <c r="EM58" s="63"/>
      <c r="EN58" s="63"/>
      <c r="EO58" s="63"/>
      <c r="EP58" s="63"/>
      <c r="EQ58" s="63"/>
      <c r="ER58" s="63"/>
      <c r="ES58" s="63"/>
      <c r="ET58" s="63"/>
      <c r="EU58" s="63"/>
      <c r="EV58" s="63"/>
      <c r="EW58" s="63"/>
      <c r="EX58" s="63"/>
      <c r="EY58" s="63"/>
      <c r="EZ58" s="63"/>
      <c r="FA58" s="63"/>
      <c r="FB58" s="63"/>
      <c r="FC58" s="63"/>
      <c r="FD58" s="63"/>
      <c r="FE58" s="63"/>
      <c r="FF58" s="63"/>
      <c r="FG58" s="63"/>
      <c r="FH58" s="63"/>
      <c r="FI58" s="63"/>
      <c r="FJ58" s="63"/>
      <c r="FK58" s="63"/>
      <c r="FL58" s="63"/>
    </row>
    <row r="59" spans="1:168" ht="18.75" x14ac:dyDescent="0.3">
      <c r="A59" s="63"/>
      <c r="B59" s="94" t="s">
        <v>8</v>
      </c>
      <c r="C59" s="95" t="s">
        <v>14</v>
      </c>
      <c r="D59" s="96"/>
      <c r="E59" s="96"/>
      <c r="F59" s="104"/>
      <c r="G59" s="98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63"/>
      <c r="AV59" s="63"/>
      <c r="AW59" s="63"/>
      <c r="AX59" s="63"/>
      <c r="AY59" s="63"/>
      <c r="AZ59" s="63"/>
      <c r="BA59" s="63"/>
      <c r="BB59" s="63"/>
      <c r="BC59" s="63"/>
      <c r="BD59" s="63"/>
      <c r="BE59" s="63"/>
      <c r="BF59" s="63"/>
      <c r="BG59" s="63"/>
      <c r="BH59" s="63"/>
      <c r="BI59" s="63"/>
      <c r="BJ59" s="63"/>
      <c r="BK59" s="63"/>
      <c r="BL59" s="63"/>
      <c r="BM59" s="63"/>
      <c r="BN59" s="63"/>
      <c r="BO59" s="63"/>
      <c r="BP59" s="63"/>
      <c r="BQ59" s="63"/>
      <c r="BR59" s="63"/>
      <c r="BS59" s="63"/>
      <c r="BT59" s="63"/>
      <c r="BU59" s="63"/>
      <c r="BV59" s="63"/>
      <c r="BW59" s="63"/>
      <c r="BX59" s="63"/>
      <c r="BY59" s="63"/>
      <c r="BZ59" s="63"/>
      <c r="CA59" s="63"/>
      <c r="CB59" s="63"/>
      <c r="CC59" s="63"/>
      <c r="CD59" s="63"/>
      <c r="CE59" s="63"/>
      <c r="CF59" s="63"/>
      <c r="CG59" s="63"/>
      <c r="CH59" s="63"/>
      <c r="CI59" s="63"/>
      <c r="CJ59" s="63"/>
      <c r="CK59" s="63"/>
      <c r="CL59" s="63"/>
      <c r="CM59" s="63"/>
      <c r="CN59" s="63"/>
      <c r="CO59" s="63"/>
      <c r="CP59" s="63"/>
      <c r="CQ59" s="63"/>
      <c r="CR59" s="63"/>
      <c r="CS59" s="63"/>
      <c r="CT59" s="63"/>
      <c r="CU59" s="63"/>
      <c r="CV59" s="63"/>
      <c r="CW59" s="63"/>
      <c r="CX59" s="63"/>
      <c r="CY59" s="63"/>
      <c r="CZ59" s="63"/>
      <c r="DA59" s="63"/>
      <c r="DB59" s="63"/>
      <c r="DC59" s="63"/>
      <c r="DD59" s="63"/>
      <c r="DE59" s="63"/>
      <c r="DF59" s="63"/>
      <c r="DG59" s="63"/>
      <c r="DH59" s="63"/>
      <c r="DI59" s="63"/>
      <c r="DJ59" s="63"/>
      <c r="DK59" s="63"/>
      <c r="DL59" s="63"/>
      <c r="DM59" s="63"/>
      <c r="DN59" s="63"/>
      <c r="DO59" s="63"/>
      <c r="DP59" s="63"/>
      <c r="DQ59" s="63"/>
      <c r="DR59" s="63"/>
      <c r="DS59" s="63"/>
      <c r="DT59" s="63"/>
      <c r="DU59" s="63"/>
      <c r="DV59" s="63"/>
      <c r="DW59" s="63"/>
      <c r="DX59" s="63"/>
      <c r="DY59" s="63"/>
      <c r="DZ59" s="63"/>
      <c r="EA59" s="63"/>
      <c r="EB59" s="63"/>
      <c r="EC59" s="63"/>
      <c r="ED59" s="63"/>
      <c r="EE59" s="63"/>
      <c r="EF59" s="63"/>
      <c r="EG59" s="63"/>
      <c r="EH59" s="63"/>
      <c r="EI59" s="63"/>
      <c r="EJ59" s="63"/>
      <c r="EK59" s="63"/>
      <c r="EL59" s="63"/>
      <c r="EM59" s="63"/>
      <c r="EN59" s="63"/>
      <c r="EO59" s="63"/>
      <c r="EP59" s="63"/>
      <c r="EQ59" s="63"/>
      <c r="ER59" s="63"/>
      <c r="ES59" s="63"/>
      <c r="ET59" s="63"/>
      <c r="EU59" s="63"/>
      <c r="EV59" s="63"/>
      <c r="EW59" s="63"/>
      <c r="EX59" s="63"/>
      <c r="EY59" s="63"/>
      <c r="EZ59" s="63"/>
      <c r="FA59" s="63"/>
      <c r="FB59" s="63"/>
      <c r="FC59" s="63"/>
      <c r="FD59" s="63"/>
      <c r="FE59" s="63"/>
      <c r="FF59" s="63"/>
      <c r="FG59" s="63"/>
      <c r="FH59" s="63"/>
      <c r="FI59" s="63"/>
      <c r="FJ59" s="63"/>
      <c r="FK59" s="63"/>
      <c r="FL59" s="63"/>
    </row>
    <row r="60" spans="1:168" x14ac:dyDescent="0.25">
      <c r="A60" s="63"/>
      <c r="B60" s="99"/>
      <c r="C60" s="96"/>
      <c r="D60" s="96"/>
      <c r="E60" s="96"/>
      <c r="F60" s="96"/>
      <c r="G60" s="98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BH60" s="63"/>
      <c r="BI60" s="63"/>
      <c r="BJ60" s="63"/>
      <c r="BK60" s="63"/>
      <c r="BL60" s="63"/>
      <c r="BM60" s="63"/>
      <c r="BN60" s="63"/>
      <c r="BO60" s="63"/>
      <c r="BP60" s="63"/>
      <c r="BQ60" s="63"/>
      <c r="BR60" s="63"/>
      <c r="BS60" s="63"/>
      <c r="BT60" s="63"/>
      <c r="BU60" s="63"/>
      <c r="BV60" s="63"/>
      <c r="BW60" s="63"/>
      <c r="BX60" s="63"/>
      <c r="BY60" s="63"/>
      <c r="BZ60" s="63"/>
      <c r="CA60" s="63"/>
      <c r="CB60" s="63"/>
      <c r="CC60" s="63"/>
      <c r="CD60" s="63"/>
      <c r="CE60" s="63"/>
      <c r="CF60" s="63"/>
      <c r="CG60" s="63"/>
      <c r="CH60" s="63"/>
      <c r="CI60" s="63"/>
      <c r="CJ60" s="63"/>
      <c r="CK60" s="63"/>
      <c r="CL60" s="63"/>
      <c r="CM60" s="63"/>
      <c r="CN60" s="63"/>
      <c r="CO60" s="63"/>
      <c r="CP60" s="63"/>
      <c r="CQ60" s="63"/>
      <c r="CR60" s="63"/>
      <c r="CS60" s="63"/>
      <c r="CT60" s="63"/>
      <c r="CU60" s="63"/>
      <c r="CV60" s="63"/>
      <c r="CW60" s="63"/>
      <c r="CX60" s="63"/>
      <c r="CY60" s="63"/>
      <c r="CZ60" s="63"/>
      <c r="DA60" s="63"/>
      <c r="DB60" s="63"/>
      <c r="DC60" s="63"/>
      <c r="DD60" s="63"/>
      <c r="DE60" s="63"/>
      <c r="DF60" s="63"/>
      <c r="DG60" s="63"/>
      <c r="DH60" s="63"/>
      <c r="DI60" s="63"/>
      <c r="DJ60" s="63"/>
      <c r="DK60" s="63"/>
      <c r="DL60" s="63"/>
      <c r="DM60" s="63"/>
      <c r="DN60" s="63"/>
      <c r="DO60" s="63"/>
      <c r="DP60" s="63"/>
      <c r="DQ60" s="63"/>
      <c r="DR60" s="63"/>
      <c r="DS60" s="63"/>
      <c r="DT60" s="63"/>
      <c r="DU60" s="63"/>
      <c r="DV60" s="63"/>
      <c r="DW60" s="63"/>
      <c r="DX60" s="63"/>
      <c r="DY60" s="63"/>
      <c r="DZ60" s="63"/>
      <c r="EA60" s="63"/>
      <c r="EB60" s="63"/>
      <c r="EC60" s="63"/>
      <c r="ED60" s="63"/>
      <c r="EE60" s="63"/>
      <c r="EF60" s="63"/>
      <c r="EG60" s="63"/>
      <c r="EH60" s="63"/>
      <c r="EI60" s="63"/>
      <c r="EJ60" s="63"/>
      <c r="EK60" s="63"/>
      <c r="EL60" s="63"/>
      <c r="EM60" s="63"/>
      <c r="EN60" s="63"/>
      <c r="EO60" s="63"/>
      <c r="EP60" s="63"/>
      <c r="EQ60" s="63"/>
      <c r="ER60" s="63"/>
      <c r="ES60" s="63"/>
      <c r="ET60" s="63"/>
      <c r="EU60" s="63"/>
      <c r="EV60" s="63"/>
      <c r="EW60" s="63"/>
      <c r="EX60" s="63"/>
      <c r="EY60" s="63"/>
      <c r="EZ60" s="63"/>
      <c r="FA60" s="63"/>
      <c r="FB60" s="63"/>
      <c r="FC60" s="63"/>
      <c r="FD60" s="63"/>
      <c r="FE60" s="63"/>
      <c r="FF60" s="63"/>
      <c r="FG60" s="63"/>
      <c r="FH60" s="63"/>
      <c r="FI60" s="63"/>
      <c r="FJ60" s="63"/>
      <c r="FK60" s="63"/>
      <c r="FL60" s="63"/>
    </row>
    <row r="61" spans="1:168" ht="18.75" x14ac:dyDescent="0.3">
      <c r="A61" s="63"/>
      <c r="B61" s="99"/>
      <c r="C61" s="96"/>
      <c r="D61" s="109" t="s">
        <v>6</v>
      </c>
      <c r="E61" s="109"/>
      <c r="F61" s="105">
        <f>'Total reduction visuals'!N30</f>
        <v>1</v>
      </c>
      <c r="G61" s="98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  <c r="BT61" s="63"/>
      <c r="BU61" s="63"/>
      <c r="BV61" s="63"/>
      <c r="BW61" s="63"/>
      <c r="BX61" s="63"/>
      <c r="BY61" s="63"/>
      <c r="BZ61" s="63"/>
      <c r="CA61" s="63"/>
      <c r="CB61" s="63"/>
      <c r="CC61" s="63"/>
      <c r="CD61" s="63"/>
      <c r="CE61" s="63"/>
      <c r="CF61" s="63"/>
      <c r="CG61" s="63"/>
      <c r="CH61" s="63"/>
      <c r="CI61" s="63"/>
      <c r="CJ61" s="63"/>
      <c r="CK61" s="63"/>
      <c r="CL61" s="63"/>
      <c r="CM61" s="63"/>
      <c r="CN61" s="63"/>
      <c r="CO61" s="63"/>
      <c r="CP61" s="63"/>
      <c r="CQ61" s="63"/>
      <c r="CR61" s="63"/>
      <c r="CS61" s="63"/>
      <c r="CT61" s="63"/>
      <c r="CU61" s="63"/>
      <c r="CV61" s="63"/>
      <c r="CW61" s="63"/>
      <c r="CX61" s="63"/>
      <c r="CY61" s="63"/>
      <c r="CZ61" s="63"/>
      <c r="DA61" s="63"/>
      <c r="DB61" s="63"/>
      <c r="DC61" s="63"/>
      <c r="DD61" s="63"/>
      <c r="DE61" s="63"/>
      <c r="DF61" s="63"/>
      <c r="DG61" s="63"/>
      <c r="DH61" s="63"/>
      <c r="DI61" s="63"/>
      <c r="DJ61" s="63"/>
      <c r="DK61" s="63"/>
      <c r="DL61" s="63"/>
      <c r="DM61" s="63"/>
      <c r="DN61" s="63"/>
      <c r="DO61" s="63"/>
      <c r="DP61" s="63"/>
      <c r="DQ61" s="63"/>
      <c r="DR61" s="63"/>
      <c r="DS61" s="63"/>
      <c r="DT61" s="63"/>
      <c r="DU61" s="63"/>
      <c r="DV61" s="63"/>
      <c r="DW61" s="63"/>
      <c r="DX61" s="63"/>
      <c r="DY61" s="63"/>
      <c r="DZ61" s="63"/>
      <c r="EA61" s="63"/>
      <c r="EB61" s="63"/>
      <c r="EC61" s="63"/>
      <c r="ED61" s="63"/>
      <c r="EE61" s="63"/>
      <c r="EF61" s="63"/>
      <c r="EG61" s="63"/>
      <c r="EH61" s="63"/>
      <c r="EI61" s="63"/>
      <c r="EJ61" s="63"/>
      <c r="EK61" s="63"/>
      <c r="EL61" s="63"/>
      <c r="EM61" s="63"/>
      <c r="EN61" s="63"/>
      <c r="EO61" s="63"/>
      <c r="EP61" s="63"/>
      <c r="EQ61" s="63"/>
      <c r="ER61" s="63"/>
      <c r="ES61" s="63"/>
      <c r="ET61" s="63"/>
      <c r="EU61" s="63"/>
      <c r="EV61" s="63"/>
      <c r="EW61" s="63"/>
      <c r="EX61" s="63"/>
      <c r="EY61" s="63"/>
      <c r="EZ61" s="63"/>
      <c r="FA61" s="63"/>
      <c r="FB61" s="63"/>
      <c r="FC61" s="63"/>
      <c r="FD61" s="63"/>
      <c r="FE61" s="63"/>
      <c r="FF61" s="63"/>
      <c r="FG61" s="63"/>
      <c r="FH61" s="63"/>
      <c r="FI61" s="63"/>
      <c r="FJ61" s="63"/>
      <c r="FK61" s="63"/>
      <c r="FL61" s="63"/>
    </row>
    <row r="62" spans="1:168" ht="18.75" x14ac:dyDescent="0.3">
      <c r="A62" s="63"/>
      <c r="B62" s="99"/>
      <c r="C62" s="96"/>
      <c r="D62" s="109" t="s">
        <v>7</v>
      </c>
      <c r="E62" s="109"/>
      <c r="F62" s="105">
        <f>'Total reduction visuals'!N31</f>
        <v>1</v>
      </c>
      <c r="G62" s="98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BH62" s="63"/>
      <c r="BI62" s="63"/>
      <c r="BJ62" s="63"/>
      <c r="BK62" s="63"/>
      <c r="BL62" s="63"/>
      <c r="BM62" s="63"/>
      <c r="BN62" s="63"/>
      <c r="BO62" s="63"/>
      <c r="BP62" s="63"/>
      <c r="BQ62" s="63"/>
      <c r="BR62" s="63"/>
      <c r="BS62" s="63"/>
      <c r="BT62" s="63"/>
      <c r="BU62" s="63"/>
      <c r="BV62" s="63"/>
      <c r="BW62" s="63"/>
      <c r="BX62" s="63"/>
      <c r="BY62" s="63"/>
      <c r="BZ62" s="63"/>
      <c r="CA62" s="63"/>
      <c r="CB62" s="63"/>
      <c r="CC62" s="63"/>
      <c r="CD62" s="63"/>
      <c r="CE62" s="63"/>
      <c r="CF62" s="63"/>
      <c r="CG62" s="63"/>
      <c r="CH62" s="63"/>
      <c r="CI62" s="63"/>
      <c r="CJ62" s="63"/>
      <c r="CK62" s="63"/>
      <c r="CL62" s="63"/>
      <c r="CM62" s="63"/>
      <c r="CN62" s="63"/>
      <c r="CO62" s="63"/>
      <c r="CP62" s="63"/>
      <c r="CQ62" s="63"/>
      <c r="CR62" s="63"/>
      <c r="CS62" s="63"/>
      <c r="CT62" s="63"/>
      <c r="CU62" s="63"/>
      <c r="CV62" s="63"/>
      <c r="CW62" s="63"/>
      <c r="CX62" s="63"/>
      <c r="CY62" s="63"/>
      <c r="CZ62" s="63"/>
      <c r="DA62" s="63"/>
      <c r="DB62" s="63"/>
      <c r="DC62" s="63"/>
      <c r="DD62" s="63"/>
      <c r="DE62" s="63"/>
      <c r="DF62" s="63"/>
      <c r="DG62" s="63"/>
      <c r="DH62" s="63"/>
      <c r="DI62" s="63"/>
      <c r="DJ62" s="63"/>
      <c r="DK62" s="63"/>
      <c r="DL62" s="63"/>
      <c r="DM62" s="63"/>
      <c r="DN62" s="63"/>
      <c r="DO62" s="63"/>
      <c r="DP62" s="63"/>
      <c r="DQ62" s="63"/>
      <c r="DR62" s="63"/>
      <c r="DS62" s="63"/>
      <c r="DT62" s="63"/>
      <c r="DU62" s="63"/>
      <c r="DV62" s="63"/>
      <c r="DW62" s="63"/>
      <c r="DX62" s="63"/>
      <c r="DY62" s="63"/>
      <c r="DZ62" s="63"/>
      <c r="EA62" s="63"/>
      <c r="EB62" s="63"/>
      <c r="EC62" s="63"/>
      <c r="ED62" s="63"/>
      <c r="EE62" s="63"/>
      <c r="EF62" s="63"/>
      <c r="EG62" s="63"/>
      <c r="EH62" s="63"/>
      <c r="EI62" s="63"/>
      <c r="EJ62" s="63"/>
      <c r="EK62" s="63"/>
      <c r="EL62" s="63"/>
      <c r="EM62" s="63"/>
      <c r="EN62" s="63"/>
      <c r="EO62" s="63"/>
      <c r="EP62" s="63"/>
      <c r="EQ62" s="63"/>
      <c r="ER62" s="63"/>
      <c r="ES62" s="63"/>
      <c r="ET62" s="63"/>
      <c r="EU62" s="63"/>
      <c r="EV62" s="63"/>
      <c r="EW62" s="63"/>
      <c r="EX62" s="63"/>
      <c r="EY62" s="63"/>
      <c r="EZ62" s="63"/>
      <c r="FA62" s="63"/>
      <c r="FB62" s="63"/>
      <c r="FC62" s="63"/>
      <c r="FD62" s="63"/>
      <c r="FE62" s="63"/>
      <c r="FF62" s="63"/>
      <c r="FG62" s="63"/>
      <c r="FH62" s="63"/>
      <c r="FI62" s="63"/>
      <c r="FJ62" s="63"/>
      <c r="FK62" s="63"/>
      <c r="FL62" s="63"/>
    </row>
    <row r="63" spans="1:168" x14ac:dyDescent="0.25">
      <c r="A63" s="63"/>
      <c r="B63" s="101"/>
      <c r="C63" s="102"/>
      <c r="D63" s="102"/>
      <c r="E63" s="102"/>
      <c r="F63" s="102"/>
      <c r="G63" s="10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BH63" s="63"/>
      <c r="BI63" s="63"/>
      <c r="BJ63" s="63"/>
      <c r="BK63" s="63"/>
      <c r="BL63" s="63"/>
      <c r="BM63" s="63"/>
      <c r="BN63" s="63"/>
      <c r="BO63" s="63"/>
      <c r="BP63" s="63"/>
      <c r="BQ63" s="63"/>
      <c r="BR63" s="63"/>
      <c r="BS63" s="63"/>
      <c r="BT63" s="63"/>
      <c r="BU63" s="63"/>
      <c r="BV63" s="63"/>
      <c r="BW63" s="63"/>
      <c r="BX63" s="63"/>
      <c r="BY63" s="63"/>
      <c r="BZ63" s="63"/>
      <c r="CA63" s="63"/>
      <c r="CB63" s="63"/>
      <c r="CC63" s="63"/>
      <c r="CD63" s="63"/>
      <c r="CE63" s="63"/>
      <c r="CF63" s="63"/>
      <c r="CG63" s="63"/>
      <c r="CH63" s="63"/>
      <c r="CI63" s="63"/>
      <c r="CJ63" s="63"/>
      <c r="CK63" s="63"/>
      <c r="CL63" s="63"/>
      <c r="CM63" s="63"/>
      <c r="CN63" s="63"/>
      <c r="CO63" s="63"/>
      <c r="CP63" s="63"/>
      <c r="CQ63" s="63"/>
      <c r="CR63" s="63"/>
      <c r="CS63" s="63"/>
      <c r="CT63" s="63"/>
      <c r="CU63" s="63"/>
      <c r="CV63" s="63"/>
      <c r="CW63" s="63"/>
      <c r="CX63" s="63"/>
      <c r="CY63" s="63"/>
      <c r="CZ63" s="63"/>
      <c r="DA63" s="63"/>
      <c r="DB63" s="63"/>
      <c r="DC63" s="63"/>
      <c r="DD63" s="63"/>
      <c r="DE63" s="63"/>
      <c r="DF63" s="63"/>
      <c r="DG63" s="63"/>
      <c r="DH63" s="63"/>
      <c r="DI63" s="63"/>
      <c r="DJ63" s="63"/>
      <c r="DK63" s="63"/>
      <c r="DL63" s="63"/>
      <c r="DM63" s="63"/>
      <c r="DN63" s="63"/>
      <c r="DO63" s="63"/>
      <c r="DP63" s="63"/>
      <c r="DQ63" s="63"/>
      <c r="DR63" s="63"/>
      <c r="DS63" s="63"/>
      <c r="DT63" s="63"/>
      <c r="DU63" s="63"/>
      <c r="DV63" s="63"/>
      <c r="DW63" s="63"/>
      <c r="DX63" s="63"/>
      <c r="DY63" s="63"/>
      <c r="DZ63" s="63"/>
      <c r="EA63" s="63"/>
      <c r="EB63" s="63"/>
      <c r="EC63" s="63"/>
      <c r="ED63" s="63"/>
      <c r="EE63" s="63"/>
      <c r="EF63" s="63"/>
      <c r="EG63" s="63"/>
      <c r="EH63" s="63"/>
      <c r="EI63" s="63"/>
      <c r="EJ63" s="63"/>
      <c r="EK63" s="63"/>
      <c r="EL63" s="63"/>
      <c r="EM63" s="63"/>
      <c r="EN63" s="63"/>
      <c r="EO63" s="63"/>
      <c r="EP63" s="63"/>
      <c r="EQ63" s="63"/>
      <c r="ER63" s="63"/>
      <c r="ES63" s="63"/>
      <c r="ET63" s="63"/>
      <c r="EU63" s="63"/>
      <c r="EV63" s="63"/>
      <c r="EW63" s="63"/>
      <c r="EX63" s="63"/>
      <c r="EY63" s="63"/>
      <c r="EZ63" s="63"/>
      <c r="FA63" s="63"/>
      <c r="FB63" s="63"/>
      <c r="FC63" s="63"/>
      <c r="FD63" s="63"/>
      <c r="FE63" s="63"/>
      <c r="FF63" s="63"/>
      <c r="FG63" s="63"/>
      <c r="FH63" s="63"/>
      <c r="FI63" s="63"/>
      <c r="FJ63" s="63"/>
      <c r="FK63" s="63"/>
      <c r="FL63" s="63"/>
    </row>
    <row r="64" spans="1:168" x14ac:dyDescent="0.25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BH64" s="63"/>
      <c r="BI64" s="63"/>
      <c r="BJ64" s="63"/>
      <c r="BK64" s="63"/>
      <c r="BL64" s="63"/>
      <c r="BM64" s="63"/>
      <c r="BN64" s="63"/>
      <c r="BO64" s="63"/>
      <c r="BP64" s="63"/>
      <c r="BQ64" s="63"/>
      <c r="BR64" s="63"/>
      <c r="BS64" s="63"/>
      <c r="BT64" s="63"/>
      <c r="BU64" s="63"/>
      <c r="BV64" s="63"/>
      <c r="BW64" s="63"/>
      <c r="BX64" s="63"/>
      <c r="BY64" s="63"/>
      <c r="BZ64" s="63"/>
      <c r="CA64" s="63"/>
      <c r="CB64" s="63"/>
      <c r="CC64" s="63"/>
      <c r="CD64" s="63"/>
      <c r="CE64" s="63"/>
      <c r="CF64" s="63"/>
      <c r="CG64" s="63"/>
      <c r="CH64" s="63"/>
      <c r="CI64" s="63"/>
      <c r="CJ64" s="63"/>
      <c r="CK64" s="63"/>
      <c r="CL64" s="63"/>
      <c r="CM64" s="63"/>
      <c r="CN64" s="63"/>
      <c r="CO64" s="63"/>
      <c r="CP64" s="63"/>
      <c r="CQ64" s="63"/>
      <c r="CR64" s="63"/>
      <c r="CS64" s="63"/>
      <c r="CT64" s="63"/>
      <c r="CU64" s="63"/>
      <c r="CV64" s="63"/>
      <c r="CW64" s="63"/>
      <c r="CX64" s="63"/>
      <c r="CY64" s="63"/>
      <c r="CZ64" s="63"/>
      <c r="DA64" s="63"/>
      <c r="DB64" s="63"/>
      <c r="DC64" s="63"/>
      <c r="DD64" s="63"/>
      <c r="DE64" s="63"/>
      <c r="DF64" s="63"/>
      <c r="DG64" s="63"/>
      <c r="DH64" s="63"/>
      <c r="DI64" s="63"/>
      <c r="DJ64" s="63"/>
      <c r="DK64" s="63"/>
      <c r="DL64" s="63"/>
      <c r="DM64" s="63"/>
      <c r="DN64" s="63"/>
      <c r="DO64" s="63"/>
      <c r="DP64" s="63"/>
      <c r="DQ64" s="63"/>
      <c r="DR64" s="63"/>
      <c r="DS64" s="63"/>
      <c r="DT64" s="63"/>
      <c r="DU64" s="63"/>
      <c r="DV64" s="63"/>
      <c r="DW64" s="63"/>
      <c r="DX64" s="63"/>
      <c r="DY64" s="63"/>
      <c r="DZ64" s="63"/>
      <c r="EA64" s="63"/>
      <c r="EB64" s="63"/>
      <c r="EC64" s="63"/>
      <c r="ED64" s="63"/>
      <c r="EE64" s="63"/>
      <c r="EF64" s="63"/>
      <c r="EG64" s="63"/>
      <c r="EH64" s="63"/>
      <c r="EI64" s="63"/>
      <c r="EJ64" s="63"/>
      <c r="EK64" s="63"/>
      <c r="EL64" s="63"/>
      <c r="EM64" s="63"/>
      <c r="EN64" s="63"/>
      <c r="EO64" s="63"/>
      <c r="EP64" s="63"/>
      <c r="EQ64" s="63"/>
      <c r="ER64" s="63"/>
      <c r="ES64" s="63"/>
      <c r="ET64" s="63"/>
      <c r="EU64" s="63"/>
      <c r="EV64" s="63"/>
      <c r="EW64" s="63"/>
      <c r="EX64" s="63"/>
      <c r="EY64" s="63"/>
      <c r="EZ64" s="63"/>
      <c r="FA64" s="63"/>
      <c r="FB64" s="63"/>
      <c r="FC64" s="63"/>
      <c r="FD64" s="63"/>
      <c r="FE64" s="63"/>
      <c r="FF64" s="63"/>
      <c r="FG64" s="63"/>
      <c r="FH64" s="63"/>
      <c r="FI64" s="63"/>
      <c r="FJ64" s="63"/>
      <c r="FK64" s="63"/>
      <c r="FL64" s="63"/>
    </row>
    <row r="65" spans="1:168" x14ac:dyDescent="0.2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63"/>
      <c r="BF65" s="63"/>
      <c r="BG65" s="63"/>
      <c r="BH65" s="63"/>
      <c r="BI65" s="63"/>
      <c r="BJ65" s="63"/>
      <c r="BK65" s="63"/>
      <c r="BL65" s="63"/>
      <c r="BM65" s="63"/>
      <c r="BN65" s="63"/>
      <c r="BO65" s="63"/>
      <c r="BP65" s="63"/>
      <c r="BQ65" s="63"/>
      <c r="BR65" s="63"/>
      <c r="BS65" s="63"/>
      <c r="BT65" s="63"/>
      <c r="BU65" s="63"/>
      <c r="BV65" s="63"/>
      <c r="BW65" s="63"/>
      <c r="BX65" s="63"/>
      <c r="BY65" s="63"/>
      <c r="BZ65" s="63"/>
      <c r="CA65" s="63"/>
      <c r="CB65" s="63"/>
      <c r="CC65" s="63"/>
      <c r="CD65" s="63"/>
      <c r="CE65" s="63"/>
      <c r="CF65" s="63"/>
      <c r="CG65" s="63"/>
      <c r="CH65" s="63"/>
      <c r="CI65" s="63"/>
      <c r="CJ65" s="63"/>
      <c r="CK65" s="63"/>
      <c r="CL65" s="63"/>
      <c r="CM65" s="63"/>
      <c r="CN65" s="63"/>
      <c r="CO65" s="63"/>
      <c r="CP65" s="63"/>
      <c r="CQ65" s="63"/>
      <c r="CR65" s="63"/>
      <c r="CS65" s="63"/>
      <c r="CT65" s="63"/>
      <c r="CU65" s="63"/>
      <c r="CV65" s="63"/>
      <c r="CW65" s="63"/>
      <c r="CX65" s="63"/>
      <c r="CY65" s="63"/>
      <c r="CZ65" s="63"/>
      <c r="DA65" s="63"/>
      <c r="DB65" s="63"/>
      <c r="DC65" s="63"/>
      <c r="DD65" s="63"/>
      <c r="DE65" s="63"/>
      <c r="DF65" s="63"/>
      <c r="DG65" s="63"/>
      <c r="DH65" s="63"/>
      <c r="DI65" s="63"/>
      <c r="DJ65" s="63"/>
      <c r="DK65" s="63"/>
      <c r="DL65" s="63"/>
      <c r="DM65" s="63"/>
      <c r="DN65" s="63"/>
      <c r="DO65" s="63"/>
      <c r="DP65" s="63"/>
      <c r="DQ65" s="63"/>
      <c r="DR65" s="63"/>
      <c r="DS65" s="63"/>
      <c r="DT65" s="63"/>
      <c r="DU65" s="63"/>
      <c r="DV65" s="63"/>
      <c r="DW65" s="63"/>
      <c r="DX65" s="63"/>
      <c r="DY65" s="63"/>
      <c r="DZ65" s="63"/>
      <c r="EA65" s="63"/>
      <c r="EB65" s="63"/>
      <c r="EC65" s="63"/>
      <c r="ED65" s="63"/>
      <c r="EE65" s="63"/>
      <c r="EF65" s="63"/>
      <c r="EG65" s="63"/>
      <c r="EH65" s="63"/>
      <c r="EI65" s="63"/>
      <c r="EJ65" s="63"/>
      <c r="EK65" s="63"/>
      <c r="EL65" s="63"/>
      <c r="EM65" s="63"/>
      <c r="EN65" s="63"/>
      <c r="EO65" s="63"/>
      <c r="EP65" s="63"/>
      <c r="EQ65" s="63"/>
      <c r="ER65" s="63"/>
      <c r="ES65" s="63"/>
      <c r="ET65" s="63"/>
      <c r="EU65" s="63"/>
      <c r="EV65" s="63"/>
      <c r="EW65" s="63"/>
      <c r="EX65" s="63"/>
      <c r="EY65" s="63"/>
      <c r="EZ65" s="63"/>
      <c r="FA65" s="63"/>
      <c r="FB65" s="63"/>
      <c r="FC65" s="63"/>
      <c r="FD65" s="63"/>
      <c r="FE65" s="63"/>
      <c r="FF65" s="63"/>
      <c r="FG65" s="63"/>
      <c r="FH65" s="63"/>
      <c r="FI65" s="63"/>
      <c r="FJ65" s="63"/>
      <c r="FK65" s="63"/>
      <c r="FL65" s="63"/>
    </row>
    <row r="66" spans="1:168" x14ac:dyDescent="0.25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BH66" s="63"/>
      <c r="BI66" s="63"/>
      <c r="BJ66" s="63"/>
      <c r="BK66" s="63"/>
      <c r="BL66" s="63"/>
      <c r="BM66" s="63"/>
      <c r="BN66" s="63"/>
      <c r="BO66" s="63"/>
      <c r="BP66" s="63"/>
      <c r="BQ66" s="63"/>
      <c r="BR66" s="63"/>
      <c r="BS66" s="63"/>
      <c r="BT66" s="63"/>
      <c r="BU66" s="63"/>
      <c r="BV66" s="63"/>
      <c r="BW66" s="63"/>
      <c r="BX66" s="63"/>
      <c r="BY66" s="63"/>
      <c r="BZ66" s="63"/>
      <c r="CA66" s="63"/>
      <c r="CB66" s="63"/>
      <c r="CC66" s="63"/>
      <c r="CD66" s="63"/>
      <c r="CE66" s="63"/>
      <c r="CF66" s="63"/>
      <c r="CG66" s="63"/>
      <c r="CH66" s="63"/>
      <c r="CI66" s="63"/>
      <c r="CJ66" s="63"/>
      <c r="CK66" s="63"/>
      <c r="CL66" s="63"/>
      <c r="CM66" s="63"/>
      <c r="CN66" s="63"/>
      <c r="CO66" s="63"/>
      <c r="CP66" s="63"/>
      <c r="CQ66" s="63"/>
      <c r="CR66" s="63"/>
      <c r="CS66" s="63"/>
      <c r="CT66" s="63"/>
      <c r="CU66" s="63"/>
      <c r="CV66" s="63"/>
      <c r="CW66" s="63"/>
      <c r="CX66" s="63"/>
      <c r="CY66" s="63"/>
      <c r="CZ66" s="63"/>
      <c r="DA66" s="63"/>
      <c r="DB66" s="63"/>
      <c r="DC66" s="63"/>
      <c r="DD66" s="63"/>
      <c r="DE66" s="63"/>
      <c r="DF66" s="63"/>
      <c r="DG66" s="63"/>
      <c r="DH66" s="63"/>
      <c r="DI66" s="63"/>
      <c r="DJ66" s="63"/>
      <c r="DK66" s="63"/>
      <c r="DL66" s="63"/>
      <c r="DM66" s="63"/>
      <c r="DN66" s="63"/>
      <c r="DO66" s="63"/>
      <c r="DP66" s="63"/>
      <c r="DQ66" s="63"/>
      <c r="DR66" s="63"/>
      <c r="DS66" s="63"/>
      <c r="DT66" s="63"/>
      <c r="DU66" s="63"/>
      <c r="DV66" s="63"/>
      <c r="DW66" s="63"/>
      <c r="DX66" s="63"/>
      <c r="DY66" s="63"/>
      <c r="DZ66" s="63"/>
      <c r="EA66" s="63"/>
      <c r="EB66" s="63"/>
      <c r="EC66" s="63"/>
      <c r="ED66" s="63"/>
      <c r="EE66" s="63"/>
      <c r="EF66" s="63"/>
      <c r="EG66" s="63"/>
      <c r="EH66" s="63"/>
      <c r="EI66" s="63"/>
      <c r="EJ66" s="63"/>
      <c r="EK66" s="63"/>
      <c r="EL66" s="63"/>
      <c r="EM66" s="63"/>
      <c r="EN66" s="63"/>
      <c r="EO66" s="63"/>
      <c r="EP66" s="63"/>
      <c r="EQ66" s="63"/>
      <c r="ER66" s="63"/>
      <c r="ES66" s="63"/>
      <c r="ET66" s="63"/>
      <c r="EU66" s="63"/>
      <c r="EV66" s="63"/>
      <c r="EW66" s="63"/>
      <c r="EX66" s="63"/>
      <c r="EY66" s="63"/>
      <c r="EZ66" s="63"/>
      <c r="FA66" s="63"/>
      <c r="FB66" s="63"/>
      <c r="FC66" s="63"/>
      <c r="FD66" s="63"/>
      <c r="FE66" s="63"/>
      <c r="FF66" s="63"/>
      <c r="FG66" s="63"/>
      <c r="FH66" s="63"/>
      <c r="FI66" s="63"/>
      <c r="FJ66" s="63"/>
      <c r="FK66" s="63"/>
      <c r="FL66" s="63"/>
    </row>
    <row r="67" spans="1:168" x14ac:dyDescent="0.25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63"/>
      <c r="AV67" s="63"/>
      <c r="AW67" s="63"/>
      <c r="AX67" s="63"/>
      <c r="AY67" s="63"/>
      <c r="AZ67" s="63"/>
      <c r="BA67" s="63"/>
      <c r="BB67" s="63"/>
      <c r="BC67" s="63"/>
      <c r="BD67" s="63"/>
      <c r="BE67" s="63"/>
      <c r="BF67" s="63"/>
      <c r="BG67" s="63"/>
      <c r="BH67" s="63"/>
      <c r="BI67" s="63"/>
      <c r="BJ67" s="63"/>
      <c r="BK67" s="63"/>
      <c r="BL67" s="63"/>
      <c r="BM67" s="63"/>
      <c r="BN67" s="63"/>
      <c r="BO67" s="63"/>
      <c r="BP67" s="63"/>
      <c r="BQ67" s="63"/>
      <c r="BR67" s="63"/>
      <c r="BS67" s="63"/>
      <c r="BT67" s="63"/>
      <c r="BU67" s="63"/>
      <c r="BV67" s="63"/>
      <c r="BW67" s="63"/>
      <c r="BX67" s="63"/>
      <c r="BY67" s="63"/>
      <c r="BZ67" s="63"/>
      <c r="CA67" s="63"/>
      <c r="CB67" s="63"/>
      <c r="CC67" s="63"/>
      <c r="CD67" s="63"/>
      <c r="CE67" s="63"/>
      <c r="CF67" s="63"/>
      <c r="CG67" s="63"/>
      <c r="CH67" s="63"/>
      <c r="CI67" s="63"/>
      <c r="CJ67" s="63"/>
      <c r="CK67" s="63"/>
      <c r="CL67" s="63"/>
      <c r="CM67" s="63"/>
      <c r="CN67" s="63"/>
      <c r="CO67" s="63"/>
      <c r="CP67" s="63"/>
      <c r="CQ67" s="63"/>
      <c r="CR67" s="63"/>
      <c r="CS67" s="63"/>
      <c r="CT67" s="63"/>
      <c r="CU67" s="63"/>
      <c r="CV67" s="63"/>
      <c r="CW67" s="63"/>
      <c r="CX67" s="63"/>
      <c r="CY67" s="63"/>
      <c r="CZ67" s="63"/>
      <c r="DA67" s="63"/>
      <c r="DB67" s="63"/>
      <c r="DC67" s="63"/>
      <c r="DD67" s="63"/>
      <c r="DE67" s="63"/>
      <c r="DF67" s="63"/>
      <c r="DG67" s="63"/>
      <c r="DH67" s="63"/>
      <c r="DI67" s="63"/>
      <c r="DJ67" s="63"/>
      <c r="DK67" s="63"/>
      <c r="DL67" s="63"/>
      <c r="DM67" s="63"/>
      <c r="DN67" s="63"/>
      <c r="DO67" s="63"/>
      <c r="DP67" s="63"/>
      <c r="DQ67" s="63"/>
      <c r="DR67" s="63"/>
      <c r="DS67" s="63"/>
      <c r="DT67" s="63"/>
      <c r="DU67" s="63"/>
      <c r="DV67" s="63"/>
      <c r="DW67" s="63"/>
      <c r="DX67" s="63"/>
      <c r="DY67" s="63"/>
      <c r="DZ67" s="63"/>
      <c r="EA67" s="63"/>
      <c r="EB67" s="63"/>
      <c r="EC67" s="63"/>
      <c r="ED67" s="63"/>
      <c r="EE67" s="63"/>
      <c r="EF67" s="63"/>
      <c r="EG67" s="63"/>
      <c r="EH67" s="63"/>
      <c r="EI67" s="63"/>
      <c r="EJ67" s="63"/>
      <c r="EK67" s="63"/>
      <c r="EL67" s="63"/>
      <c r="EM67" s="63"/>
      <c r="EN67" s="63"/>
      <c r="EO67" s="63"/>
      <c r="EP67" s="63"/>
      <c r="EQ67" s="63"/>
      <c r="ER67" s="63"/>
      <c r="ES67" s="63"/>
      <c r="ET67" s="63"/>
      <c r="EU67" s="63"/>
      <c r="EV67" s="63"/>
      <c r="EW67" s="63"/>
      <c r="EX67" s="63"/>
      <c r="EY67" s="63"/>
      <c r="EZ67" s="63"/>
      <c r="FA67" s="63"/>
      <c r="FB67" s="63"/>
      <c r="FC67" s="63"/>
      <c r="FD67" s="63"/>
      <c r="FE67" s="63"/>
      <c r="FF67" s="63"/>
      <c r="FG67" s="63"/>
      <c r="FH67" s="63"/>
      <c r="FI67" s="63"/>
      <c r="FJ67" s="63"/>
      <c r="FK67" s="63"/>
      <c r="FL67" s="63"/>
    </row>
    <row r="68" spans="1:168" x14ac:dyDescent="0.25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63"/>
      <c r="AV68" s="63"/>
      <c r="AW68" s="63"/>
      <c r="AX68" s="63"/>
      <c r="AY68" s="63"/>
      <c r="AZ68" s="63"/>
      <c r="BA68" s="63"/>
      <c r="BB68" s="63"/>
      <c r="BC68" s="63"/>
      <c r="BD68" s="63"/>
      <c r="BE68" s="63"/>
      <c r="BF68" s="63"/>
      <c r="BG68" s="63"/>
      <c r="BH68" s="63"/>
      <c r="BI68" s="63"/>
      <c r="BJ68" s="63"/>
      <c r="BK68" s="63"/>
      <c r="BL68" s="63"/>
      <c r="BM68" s="63"/>
      <c r="BN68" s="63"/>
      <c r="BO68" s="63"/>
      <c r="BP68" s="63"/>
      <c r="BQ68" s="63"/>
      <c r="BR68" s="63"/>
      <c r="BS68" s="63"/>
      <c r="BT68" s="63"/>
      <c r="BU68" s="63"/>
      <c r="BV68" s="63"/>
      <c r="BW68" s="63"/>
      <c r="BX68" s="63"/>
      <c r="BY68" s="63"/>
      <c r="BZ68" s="63"/>
      <c r="CA68" s="63"/>
      <c r="CB68" s="63"/>
      <c r="CC68" s="63"/>
      <c r="CD68" s="63"/>
      <c r="CE68" s="63"/>
      <c r="CF68" s="63"/>
      <c r="CG68" s="63"/>
      <c r="CH68" s="63"/>
      <c r="CI68" s="63"/>
      <c r="CJ68" s="63"/>
      <c r="CK68" s="63"/>
      <c r="CL68" s="63"/>
      <c r="CM68" s="63"/>
      <c r="CN68" s="63"/>
      <c r="CO68" s="63"/>
      <c r="CP68" s="63"/>
      <c r="CQ68" s="63"/>
      <c r="CR68" s="63"/>
      <c r="CS68" s="63"/>
      <c r="CT68" s="63"/>
      <c r="CU68" s="63"/>
      <c r="CV68" s="63"/>
      <c r="CW68" s="63"/>
      <c r="CX68" s="63"/>
      <c r="CY68" s="63"/>
      <c r="CZ68" s="63"/>
      <c r="DA68" s="63"/>
      <c r="DB68" s="63"/>
      <c r="DC68" s="63"/>
      <c r="DD68" s="63"/>
      <c r="DE68" s="63"/>
      <c r="DF68" s="63"/>
      <c r="DG68" s="63"/>
      <c r="DH68" s="63"/>
      <c r="DI68" s="63"/>
      <c r="DJ68" s="63"/>
      <c r="DK68" s="63"/>
      <c r="DL68" s="63"/>
      <c r="DM68" s="63"/>
      <c r="DN68" s="63"/>
      <c r="DO68" s="63"/>
      <c r="DP68" s="63"/>
      <c r="DQ68" s="63"/>
      <c r="DR68" s="63"/>
      <c r="DS68" s="63"/>
      <c r="DT68" s="63"/>
      <c r="DU68" s="63"/>
      <c r="DV68" s="63"/>
      <c r="DW68" s="63"/>
      <c r="DX68" s="63"/>
      <c r="DY68" s="63"/>
      <c r="DZ68" s="63"/>
      <c r="EA68" s="63"/>
      <c r="EB68" s="63"/>
      <c r="EC68" s="63"/>
      <c r="ED68" s="63"/>
      <c r="EE68" s="63"/>
      <c r="EF68" s="63"/>
      <c r="EG68" s="63"/>
      <c r="EH68" s="63"/>
      <c r="EI68" s="63"/>
      <c r="EJ68" s="63"/>
      <c r="EK68" s="63"/>
      <c r="EL68" s="63"/>
      <c r="EM68" s="63"/>
      <c r="EN68" s="63"/>
      <c r="EO68" s="63"/>
      <c r="EP68" s="63"/>
      <c r="EQ68" s="63"/>
      <c r="ER68" s="63"/>
      <c r="ES68" s="63"/>
      <c r="ET68" s="63"/>
      <c r="EU68" s="63"/>
      <c r="EV68" s="63"/>
      <c r="EW68" s="63"/>
      <c r="EX68" s="63"/>
      <c r="EY68" s="63"/>
      <c r="EZ68" s="63"/>
      <c r="FA68" s="63"/>
      <c r="FB68" s="63"/>
      <c r="FC68" s="63"/>
      <c r="FD68" s="63"/>
      <c r="FE68" s="63"/>
      <c r="FF68" s="63"/>
      <c r="FG68" s="63"/>
      <c r="FH68" s="63"/>
      <c r="FI68" s="63"/>
      <c r="FJ68" s="63"/>
      <c r="FK68" s="63"/>
      <c r="FL68" s="63"/>
    </row>
    <row r="69" spans="1:168" x14ac:dyDescent="0.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AW69" s="63"/>
      <c r="AX69" s="63"/>
      <c r="AY69" s="63"/>
      <c r="AZ69" s="63"/>
      <c r="BA69" s="63"/>
      <c r="BB69" s="63"/>
      <c r="BC69" s="63"/>
      <c r="BD69" s="63"/>
      <c r="BE69" s="63"/>
      <c r="BF69" s="63"/>
      <c r="BG69" s="63"/>
      <c r="BH69" s="63"/>
      <c r="BI69" s="63"/>
      <c r="BJ69" s="63"/>
      <c r="BK69" s="63"/>
      <c r="BL69" s="63"/>
      <c r="BM69" s="63"/>
      <c r="BN69" s="63"/>
      <c r="BO69" s="63"/>
      <c r="BP69" s="63"/>
      <c r="BQ69" s="63"/>
      <c r="BR69" s="63"/>
      <c r="BS69" s="63"/>
      <c r="BT69" s="63"/>
      <c r="BU69" s="63"/>
      <c r="BV69" s="63"/>
      <c r="BW69" s="63"/>
      <c r="BX69" s="63"/>
      <c r="BY69" s="63"/>
      <c r="BZ69" s="63"/>
      <c r="CA69" s="63"/>
      <c r="CB69" s="63"/>
      <c r="CC69" s="63"/>
      <c r="CD69" s="63"/>
      <c r="CE69" s="63"/>
      <c r="CF69" s="63"/>
      <c r="CG69" s="63"/>
      <c r="CH69" s="63"/>
      <c r="CI69" s="63"/>
      <c r="CJ69" s="63"/>
      <c r="CK69" s="63"/>
      <c r="CL69" s="63"/>
      <c r="CM69" s="63"/>
      <c r="CN69" s="63"/>
      <c r="CO69" s="63"/>
      <c r="CP69" s="63"/>
      <c r="CQ69" s="63"/>
      <c r="CR69" s="63"/>
      <c r="CS69" s="63"/>
      <c r="CT69" s="63"/>
      <c r="CU69" s="63"/>
      <c r="CV69" s="63"/>
      <c r="CW69" s="63"/>
      <c r="CX69" s="63"/>
      <c r="CY69" s="63"/>
      <c r="CZ69" s="63"/>
      <c r="DA69" s="63"/>
      <c r="DB69" s="63"/>
      <c r="DC69" s="63"/>
      <c r="DD69" s="63"/>
      <c r="DE69" s="63"/>
      <c r="DF69" s="63"/>
      <c r="DG69" s="63"/>
      <c r="DH69" s="63"/>
      <c r="DI69" s="63"/>
      <c r="DJ69" s="63"/>
      <c r="DK69" s="63"/>
      <c r="DL69" s="63"/>
      <c r="DM69" s="63"/>
      <c r="DN69" s="63"/>
      <c r="DO69" s="63"/>
      <c r="DP69" s="63"/>
      <c r="DQ69" s="63"/>
      <c r="DR69" s="63"/>
      <c r="DS69" s="63"/>
      <c r="DT69" s="63"/>
      <c r="DU69" s="63"/>
      <c r="DV69" s="63"/>
      <c r="DW69" s="63"/>
      <c r="DX69" s="63"/>
      <c r="DY69" s="63"/>
      <c r="DZ69" s="63"/>
      <c r="EA69" s="63"/>
      <c r="EB69" s="63"/>
      <c r="EC69" s="63"/>
      <c r="ED69" s="63"/>
      <c r="EE69" s="63"/>
      <c r="EF69" s="63"/>
      <c r="EG69" s="63"/>
      <c r="EH69" s="63"/>
      <c r="EI69" s="63"/>
      <c r="EJ69" s="63"/>
      <c r="EK69" s="63"/>
      <c r="EL69" s="63"/>
      <c r="EM69" s="63"/>
      <c r="EN69" s="63"/>
      <c r="EO69" s="63"/>
      <c r="EP69" s="63"/>
      <c r="EQ69" s="63"/>
      <c r="ER69" s="63"/>
      <c r="ES69" s="63"/>
      <c r="ET69" s="63"/>
      <c r="EU69" s="63"/>
      <c r="EV69" s="63"/>
      <c r="EW69" s="63"/>
      <c r="EX69" s="63"/>
      <c r="EY69" s="63"/>
      <c r="EZ69" s="63"/>
      <c r="FA69" s="63"/>
      <c r="FB69" s="63"/>
      <c r="FC69" s="63"/>
      <c r="FD69" s="63"/>
      <c r="FE69" s="63"/>
      <c r="FF69" s="63"/>
      <c r="FG69" s="63"/>
      <c r="FH69" s="63"/>
      <c r="FI69" s="63"/>
      <c r="FJ69" s="63"/>
      <c r="FK69" s="63"/>
      <c r="FL69" s="63"/>
    </row>
    <row r="70" spans="1:168" x14ac:dyDescent="0.2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AW70" s="63"/>
      <c r="AX70" s="63"/>
      <c r="AY70" s="63"/>
      <c r="AZ70" s="63"/>
      <c r="BA70" s="63"/>
      <c r="BB70" s="63"/>
      <c r="BC70" s="63"/>
      <c r="BD70" s="63"/>
      <c r="BE70" s="63"/>
      <c r="BF70" s="63"/>
      <c r="BG70" s="63"/>
      <c r="BH70" s="63"/>
      <c r="BI70" s="63"/>
      <c r="BJ70" s="63"/>
      <c r="BK70" s="63"/>
      <c r="BL70" s="63"/>
      <c r="BM70" s="63"/>
      <c r="BN70" s="63"/>
      <c r="BO70" s="63"/>
      <c r="BP70" s="63"/>
      <c r="BQ70" s="63"/>
      <c r="BR70" s="63"/>
      <c r="BS70" s="63"/>
      <c r="BT70" s="63"/>
      <c r="BU70" s="63"/>
      <c r="BV70" s="63"/>
      <c r="BW70" s="63"/>
      <c r="BX70" s="63"/>
      <c r="BY70" s="63"/>
      <c r="BZ70" s="63"/>
      <c r="CA70" s="63"/>
      <c r="CB70" s="63"/>
      <c r="CC70" s="63"/>
      <c r="CD70" s="63"/>
      <c r="CE70" s="63"/>
      <c r="CF70" s="63"/>
      <c r="CG70" s="63"/>
      <c r="CH70" s="63"/>
      <c r="CI70" s="63"/>
      <c r="CJ70" s="63"/>
      <c r="CK70" s="63"/>
      <c r="CL70" s="63"/>
      <c r="CM70" s="63"/>
      <c r="CN70" s="63"/>
      <c r="CO70" s="63"/>
      <c r="CP70" s="63"/>
      <c r="CQ70" s="63"/>
      <c r="CR70" s="63"/>
      <c r="CS70" s="63"/>
      <c r="CT70" s="63"/>
      <c r="CU70" s="63"/>
      <c r="CV70" s="63"/>
      <c r="CW70" s="63"/>
      <c r="CX70" s="63"/>
      <c r="CY70" s="63"/>
      <c r="CZ70" s="63"/>
      <c r="DA70" s="63"/>
      <c r="DB70" s="63"/>
      <c r="DC70" s="63"/>
      <c r="DD70" s="63"/>
      <c r="DE70" s="63"/>
      <c r="DF70" s="63"/>
      <c r="DG70" s="63"/>
      <c r="DH70" s="63"/>
      <c r="DI70" s="63"/>
      <c r="DJ70" s="63"/>
      <c r="DK70" s="63"/>
      <c r="DL70" s="63"/>
      <c r="DM70" s="63"/>
      <c r="DN70" s="63"/>
      <c r="DO70" s="63"/>
      <c r="DP70" s="63"/>
      <c r="DQ70" s="63"/>
      <c r="DR70" s="63"/>
      <c r="DS70" s="63"/>
      <c r="DT70" s="63"/>
      <c r="DU70" s="63"/>
      <c r="DV70" s="63"/>
      <c r="DW70" s="63"/>
      <c r="DX70" s="63"/>
      <c r="DY70" s="63"/>
      <c r="DZ70" s="63"/>
      <c r="EA70" s="63"/>
      <c r="EB70" s="63"/>
      <c r="EC70" s="63"/>
      <c r="ED70" s="63"/>
      <c r="EE70" s="63"/>
      <c r="EF70" s="63"/>
      <c r="EG70" s="63"/>
      <c r="EH70" s="63"/>
      <c r="EI70" s="63"/>
      <c r="EJ70" s="63"/>
      <c r="EK70" s="63"/>
      <c r="EL70" s="63"/>
      <c r="EM70" s="63"/>
      <c r="EN70" s="63"/>
      <c r="EO70" s="63"/>
      <c r="EP70" s="63"/>
      <c r="EQ70" s="63"/>
      <c r="ER70" s="63"/>
      <c r="ES70" s="63"/>
      <c r="ET70" s="63"/>
      <c r="EU70" s="63"/>
      <c r="EV70" s="63"/>
      <c r="EW70" s="63"/>
      <c r="EX70" s="63"/>
      <c r="EY70" s="63"/>
      <c r="EZ70" s="63"/>
      <c r="FA70" s="63"/>
      <c r="FB70" s="63"/>
      <c r="FC70" s="63"/>
      <c r="FD70" s="63"/>
      <c r="FE70" s="63"/>
      <c r="FF70" s="63"/>
      <c r="FG70" s="63"/>
      <c r="FH70" s="63"/>
      <c r="FI70" s="63"/>
      <c r="FJ70" s="63"/>
      <c r="FK70" s="63"/>
      <c r="FL70" s="63"/>
    </row>
    <row r="71" spans="1:168" x14ac:dyDescent="0.25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BH71" s="63"/>
      <c r="BI71" s="63"/>
      <c r="BJ71" s="63"/>
      <c r="BK71" s="63"/>
      <c r="BL71" s="63"/>
      <c r="BM71" s="63"/>
      <c r="BN71" s="63"/>
      <c r="BO71" s="63"/>
      <c r="BP71" s="63"/>
      <c r="BQ71" s="63"/>
      <c r="BR71" s="63"/>
      <c r="BS71" s="63"/>
      <c r="BT71" s="63"/>
      <c r="BU71" s="63"/>
      <c r="BV71" s="63"/>
      <c r="BW71" s="63"/>
      <c r="BX71" s="63"/>
      <c r="BY71" s="63"/>
      <c r="BZ71" s="63"/>
      <c r="CA71" s="63"/>
      <c r="CB71" s="63"/>
      <c r="CC71" s="63"/>
      <c r="CD71" s="63"/>
      <c r="CE71" s="63"/>
      <c r="CF71" s="63"/>
      <c r="CG71" s="63"/>
      <c r="CH71" s="63"/>
      <c r="CI71" s="63"/>
      <c r="CJ71" s="63"/>
      <c r="CK71" s="63"/>
      <c r="CL71" s="63"/>
      <c r="CM71" s="63"/>
      <c r="CN71" s="63"/>
      <c r="CO71" s="63"/>
      <c r="CP71" s="63"/>
      <c r="CQ71" s="63"/>
      <c r="CR71" s="63"/>
      <c r="CS71" s="63"/>
      <c r="CT71" s="63"/>
      <c r="CU71" s="63"/>
      <c r="CV71" s="63"/>
      <c r="CW71" s="63"/>
      <c r="CX71" s="63"/>
      <c r="CY71" s="63"/>
      <c r="CZ71" s="63"/>
      <c r="DA71" s="63"/>
      <c r="DB71" s="63"/>
      <c r="DC71" s="63"/>
      <c r="DD71" s="63"/>
      <c r="DE71" s="63"/>
      <c r="DF71" s="63"/>
      <c r="DG71" s="63"/>
      <c r="DH71" s="63"/>
      <c r="DI71" s="63"/>
      <c r="DJ71" s="63"/>
      <c r="DK71" s="63"/>
      <c r="DL71" s="63"/>
      <c r="DM71" s="63"/>
      <c r="DN71" s="63"/>
      <c r="DO71" s="63"/>
      <c r="DP71" s="63"/>
      <c r="DQ71" s="63"/>
      <c r="DR71" s="63"/>
      <c r="DS71" s="63"/>
      <c r="DT71" s="63"/>
      <c r="DU71" s="63"/>
      <c r="DV71" s="63"/>
      <c r="DW71" s="63"/>
      <c r="DX71" s="63"/>
      <c r="DY71" s="63"/>
      <c r="DZ71" s="63"/>
      <c r="EA71" s="63"/>
      <c r="EB71" s="63"/>
      <c r="EC71" s="63"/>
      <c r="ED71" s="63"/>
      <c r="EE71" s="63"/>
      <c r="EF71" s="63"/>
      <c r="EG71" s="63"/>
      <c r="EH71" s="63"/>
      <c r="EI71" s="63"/>
      <c r="EJ71" s="63"/>
      <c r="EK71" s="63"/>
      <c r="EL71" s="63"/>
      <c r="EM71" s="63"/>
      <c r="EN71" s="63"/>
      <c r="EO71" s="63"/>
      <c r="EP71" s="63"/>
      <c r="EQ71" s="63"/>
      <c r="ER71" s="63"/>
      <c r="ES71" s="63"/>
      <c r="ET71" s="63"/>
      <c r="EU71" s="63"/>
      <c r="EV71" s="63"/>
      <c r="EW71" s="63"/>
      <c r="EX71" s="63"/>
      <c r="EY71" s="63"/>
      <c r="EZ71" s="63"/>
      <c r="FA71" s="63"/>
      <c r="FB71" s="63"/>
      <c r="FC71" s="63"/>
      <c r="FD71" s="63"/>
      <c r="FE71" s="63"/>
      <c r="FF71" s="63"/>
      <c r="FG71" s="63"/>
      <c r="FH71" s="63"/>
      <c r="FI71" s="63"/>
      <c r="FJ71" s="63"/>
      <c r="FK71" s="63"/>
      <c r="FL71" s="63"/>
    </row>
    <row r="72" spans="1:168" x14ac:dyDescent="0.25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BH72" s="63"/>
      <c r="BI72" s="63"/>
      <c r="BJ72" s="63"/>
      <c r="BK72" s="63"/>
      <c r="BL72" s="63"/>
      <c r="BM72" s="63"/>
      <c r="BN72" s="63"/>
      <c r="BO72" s="63"/>
      <c r="BP72" s="63"/>
      <c r="BQ72" s="63"/>
      <c r="BR72" s="63"/>
      <c r="BS72" s="63"/>
      <c r="BT72" s="63"/>
      <c r="BU72" s="63"/>
      <c r="BV72" s="63"/>
      <c r="BW72" s="63"/>
      <c r="BX72" s="63"/>
      <c r="BY72" s="63"/>
      <c r="BZ72" s="63"/>
      <c r="CA72" s="63"/>
      <c r="CB72" s="63"/>
      <c r="CC72" s="63"/>
      <c r="CD72" s="63"/>
      <c r="CE72" s="63"/>
      <c r="CF72" s="63"/>
      <c r="CG72" s="63"/>
      <c r="CH72" s="63"/>
      <c r="CI72" s="63"/>
      <c r="CJ72" s="63"/>
      <c r="CK72" s="63"/>
      <c r="CL72" s="63"/>
      <c r="CM72" s="63"/>
      <c r="CN72" s="63"/>
      <c r="CO72" s="63"/>
      <c r="CP72" s="63"/>
      <c r="CQ72" s="63"/>
      <c r="CR72" s="63"/>
      <c r="CS72" s="63"/>
      <c r="CT72" s="63"/>
      <c r="CU72" s="63"/>
      <c r="CV72" s="63"/>
      <c r="CW72" s="63"/>
      <c r="CX72" s="63"/>
      <c r="CY72" s="63"/>
      <c r="CZ72" s="63"/>
      <c r="DA72" s="63"/>
      <c r="DB72" s="63"/>
      <c r="DC72" s="63"/>
      <c r="DD72" s="63"/>
      <c r="DE72" s="63"/>
      <c r="DF72" s="63"/>
      <c r="DG72" s="63"/>
      <c r="DH72" s="63"/>
      <c r="DI72" s="63"/>
      <c r="DJ72" s="63"/>
      <c r="DK72" s="63"/>
      <c r="DL72" s="63"/>
      <c r="DM72" s="63"/>
      <c r="DN72" s="63"/>
      <c r="DO72" s="63"/>
      <c r="DP72" s="63"/>
      <c r="DQ72" s="63"/>
      <c r="DR72" s="63"/>
      <c r="DS72" s="63"/>
      <c r="DT72" s="63"/>
      <c r="DU72" s="63"/>
      <c r="DV72" s="63"/>
      <c r="DW72" s="63"/>
      <c r="DX72" s="63"/>
      <c r="DY72" s="63"/>
      <c r="DZ72" s="63"/>
      <c r="EA72" s="63"/>
      <c r="EB72" s="63"/>
      <c r="EC72" s="63"/>
      <c r="ED72" s="63"/>
      <c r="EE72" s="63"/>
      <c r="EF72" s="63"/>
      <c r="EG72" s="63"/>
      <c r="EH72" s="63"/>
      <c r="EI72" s="63"/>
      <c r="EJ72" s="63"/>
      <c r="EK72" s="63"/>
      <c r="EL72" s="63"/>
      <c r="EM72" s="63"/>
      <c r="EN72" s="63"/>
      <c r="EO72" s="63"/>
      <c r="EP72" s="63"/>
      <c r="EQ72" s="63"/>
      <c r="ER72" s="63"/>
      <c r="ES72" s="63"/>
      <c r="ET72" s="63"/>
      <c r="EU72" s="63"/>
      <c r="EV72" s="63"/>
      <c r="EW72" s="63"/>
      <c r="EX72" s="63"/>
      <c r="EY72" s="63"/>
      <c r="EZ72" s="63"/>
      <c r="FA72" s="63"/>
      <c r="FB72" s="63"/>
      <c r="FC72" s="63"/>
      <c r="FD72" s="63"/>
      <c r="FE72" s="63"/>
      <c r="FF72" s="63"/>
      <c r="FG72" s="63"/>
      <c r="FH72" s="63"/>
      <c r="FI72" s="63"/>
      <c r="FJ72" s="63"/>
      <c r="FK72" s="63"/>
      <c r="FL72" s="63"/>
    </row>
    <row r="73" spans="1:168" x14ac:dyDescent="0.25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3"/>
      <c r="AX73" s="63"/>
      <c r="AY73" s="63"/>
      <c r="AZ73" s="63"/>
      <c r="BA73" s="63"/>
      <c r="BB73" s="63"/>
      <c r="BC73" s="63"/>
      <c r="BD73" s="63"/>
      <c r="BE73" s="63"/>
      <c r="BF73" s="63"/>
      <c r="BG73" s="63"/>
      <c r="BH73" s="63"/>
      <c r="BI73" s="63"/>
      <c r="BJ73" s="63"/>
      <c r="BK73" s="63"/>
      <c r="BL73" s="63"/>
      <c r="BM73" s="63"/>
      <c r="BN73" s="63"/>
      <c r="BO73" s="63"/>
      <c r="BP73" s="63"/>
      <c r="BQ73" s="63"/>
      <c r="BR73" s="63"/>
      <c r="BS73" s="63"/>
      <c r="BT73" s="63"/>
      <c r="BU73" s="63"/>
      <c r="BV73" s="63"/>
      <c r="BW73" s="63"/>
      <c r="BX73" s="63"/>
      <c r="BY73" s="63"/>
      <c r="BZ73" s="63"/>
      <c r="CA73" s="63"/>
      <c r="CB73" s="63"/>
      <c r="CC73" s="63"/>
      <c r="CD73" s="63"/>
      <c r="CE73" s="63"/>
      <c r="CF73" s="63"/>
      <c r="CG73" s="63"/>
      <c r="CH73" s="63"/>
      <c r="CI73" s="63"/>
      <c r="CJ73" s="63"/>
      <c r="CK73" s="63"/>
      <c r="CL73" s="63"/>
      <c r="CM73" s="63"/>
      <c r="CN73" s="63"/>
      <c r="CO73" s="63"/>
      <c r="CP73" s="63"/>
      <c r="CQ73" s="63"/>
      <c r="CR73" s="63"/>
      <c r="CS73" s="63"/>
      <c r="CT73" s="63"/>
      <c r="CU73" s="63"/>
      <c r="CV73" s="63"/>
      <c r="CW73" s="63"/>
      <c r="CX73" s="63"/>
      <c r="CY73" s="63"/>
      <c r="CZ73" s="63"/>
      <c r="DA73" s="63"/>
      <c r="DB73" s="63"/>
      <c r="DC73" s="63"/>
      <c r="DD73" s="63"/>
      <c r="DE73" s="63"/>
      <c r="DF73" s="63"/>
      <c r="DG73" s="63"/>
      <c r="DH73" s="63"/>
      <c r="DI73" s="63"/>
      <c r="DJ73" s="63"/>
      <c r="DK73" s="63"/>
      <c r="DL73" s="63"/>
      <c r="DM73" s="63"/>
      <c r="DN73" s="63"/>
      <c r="DO73" s="63"/>
      <c r="DP73" s="63"/>
      <c r="DQ73" s="63"/>
      <c r="DR73" s="63"/>
      <c r="DS73" s="63"/>
      <c r="DT73" s="63"/>
      <c r="DU73" s="63"/>
      <c r="DV73" s="63"/>
      <c r="DW73" s="63"/>
      <c r="DX73" s="63"/>
      <c r="DY73" s="63"/>
      <c r="DZ73" s="63"/>
      <c r="EA73" s="63"/>
      <c r="EB73" s="63"/>
      <c r="EC73" s="63"/>
      <c r="ED73" s="63"/>
      <c r="EE73" s="63"/>
      <c r="EF73" s="63"/>
      <c r="EG73" s="63"/>
      <c r="EH73" s="63"/>
      <c r="EI73" s="63"/>
      <c r="EJ73" s="63"/>
      <c r="EK73" s="63"/>
      <c r="EL73" s="63"/>
      <c r="EM73" s="63"/>
      <c r="EN73" s="63"/>
      <c r="EO73" s="63"/>
      <c r="EP73" s="63"/>
      <c r="EQ73" s="63"/>
      <c r="ER73" s="63"/>
      <c r="ES73" s="63"/>
      <c r="ET73" s="63"/>
      <c r="EU73" s="63"/>
      <c r="EV73" s="63"/>
      <c r="EW73" s="63"/>
      <c r="EX73" s="63"/>
      <c r="EY73" s="63"/>
      <c r="EZ73" s="63"/>
      <c r="FA73" s="63"/>
      <c r="FB73" s="63"/>
      <c r="FC73" s="63"/>
      <c r="FD73" s="63"/>
      <c r="FE73" s="63"/>
      <c r="FF73" s="63"/>
      <c r="FG73" s="63"/>
      <c r="FH73" s="63"/>
      <c r="FI73" s="63"/>
      <c r="FJ73" s="63"/>
      <c r="FK73" s="63"/>
      <c r="FL73" s="63"/>
    </row>
    <row r="74" spans="1:168" x14ac:dyDescent="0.25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BH74" s="63"/>
      <c r="BI74" s="63"/>
      <c r="BJ74" s="63"/>
      <c r="BK74" s="63"/>
      <c r="BL74" s="63"/>
      <c r="BM74" s="63"/>
      <c r="BN74" s="63"/>
      <c r="BO74" s="63"/>
      <c r="BP74" s="63"/>
      <c r="BQ74" s="63"/>
      <c r="BR74" s="63"/>
      <c r="BS74" s="63"/>
      <c r="BT74" s="63"/>
      <c r="BU74" s="63"/>
      <c r="BV74" s="63"/>
      <c r="BW74" s="63"/>
      <c r="BX74" s="63"/>
      <c r="BY74" s="63"/>
      <c r="BZ74" s="63"/>
      <c r="CA74" s="63"/>
      <c r="CB74" s="63"/>
      <c r="CC74" s="63"/>
      <c r="CD74" s="63"/>
      <c r="CE74" s="63"/>
      <c r="CF74" s="63"/>
      <c r="CG74" s="63"/>
      <c r="CH74" s="63"/>
      <c r="CI74" s="63"/>
      <c r="CJ74" s="63"/>
      <c r="CK74" s="63"/>
      <c r="CL74" s="63"/>
      <c r="CM74" s="63"/>
      <c r="CN74" s="63"/>
      <c r="CO74" s="63"/>
      <c r="CP74" s="63"/>
      <c r="CQ74" s="63"/>
      <c r="CR74" s="63"/>
      <c r="CS74" s="63"/>
      <c r="CT74" s="63"/>
      <c r="CU74" s="63"/>
      <c r="CV74" s="63"/>
      <c r="CW74" s="63"/>
      <c r="CX74" s="63"/>
      <c r="CY74" s="63"/>
      <c r="CZ74" s="63"/>
      <c r="DA74" s="63"/>
      <c r="DB74" s="63"/>
      <c r="DC74" s="63"/>
      <c r="DD74" s="63"/>
      <c r="DE74" s="63"/>
      <c r="DF74" s="63"/>
      <c r="DG74" s="63"/>
      <c r="DH74" s="63"/>
      <c r="DI74" s="63"/>
      <c r="DJ74" s="63"/>
      <c r="DK74" s="63"/>
      <c r="DL74" s="63"/>
      <c r="DM74" s="63"/>
      <c r="DN74" s="63"/>
      <c r="DO74" s="63"/>
      <c r="DP74" s="63"/>
      <c r="DQ74" s="63"/>
      <c r="DR74" s="63"/>
      <c r="DS74" s="63"/>
      <c r="DT74" s="63"/>
      <c r="DU74" s="63"/>
      <c r="DV74" s="63"/>
      <c r="DW74" s="63"/>
      <c r="DX74" s="63"/>
      <c r="DY74" s="63"/>
      <c r="DZ74" s="63"/>
      <c r="EA74" s="63"/>
      <c r="EB74" s="63"/>
      <c r="EC74" s="63"/>
      <c r="ED74" s="63"/>
      <c r="EE74" s="63"/>
      <c r="EF74" s="63"/>
      <c r="EG74" s="63"/>
      <c r="EH74" s="63"/>
      <c r="EI74" s="63"/>
      <c r="EJ74" s="63"/>
      <c r="EK74" s="63"/>
      <c r="EL74" s="63"/>
      <c r="EM74" s="63"/>
      <c r="EN74" s="63"/>
      <c r="EO74" s="63"/>
      <c r="EP74" s="63"/>
      <c r="EQ74" s="63"/>
      <c r="ER74" s="63"/>
      <c r="ES74" s="63"/>
      <c r="ET74" s="63"/>
      <c r="EU74" s="63"/>
      <c r="EV74" s="63"/>
      <c r="EW74" s="63"/>
      <c r="EX74" s="63"/>
      <c r="EY74" s="63"/>
      <c r="EZ74" s="63"/>
      <c r="FA74" s="63"/>
      <c r="FB74" s="63"/>
      <c r="FC74" s="63"/>
      <c r="FD74" s="63"/>
      <c r="FE74" s="63"/>
      <c r="FF74" s="63"/>
      <c r="FG74" s="63"/>
      <c r="FH74" s="63"/>
      <c r="FI74" s="63"/>
      <c r="FJ74" s="63"/>
      <c r="FK74" s="63"/>
      <c r="FL74" s="63"/>
    </row>
    <row r="75" spans="1:168" x14ac:dyDescent="0.2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BH75" s="63"/>
      <c r="BI75" s="63"/>
      <c r="BJ75" s="63"/>
      <c r="BK75" s="63"/>
      <c r="BL75" s="63"/>
      <c r="BM75" s="63"/>
      <c r="BN75" s="63"/>
      <c r="BO75" s="63"/>
      <c r="BP75" s="63"/>
      <c r="BQ75" s="63"/>
      <c r="BR75" s="63"/>
      <c r="BS75" s="63"/>
      <c r="BT75" s="63"/>
      <c r="BU75" s="63"/>
      <c r="BV75" s="63"/>
      <c r="BW75" s="63"/>
      <c r="BX75" s="63"/>
      <c r="BY75" s="63"/>
      <c r="BZ75" s="63"/>
      <c r="CA75" s="63"/>
      <c r="CB75" s="63"/>
      <c r="CC75" s="63"/>
      <c r="CD75" s="63"/>
      <c r="CE75" s="63"/>
      <c r="CF75" s="63"/>
      <c r="CG75" s="63"/>
      <c r="CH75" s="63"/>
      <c r="CI75" s="63"/>
      <c r="CJ75" s="63"/>
      <c r="CK75" s="63"/>
      <c r="CL75" s="63"/>
      <c r="CM75" s="63"/>
      <c r="CN75" s="63"/>
      <c r="CO75" s="63"/>
      <c r="CP75" s="63"/>
      <c r="CQ75" s="63"/>
      <c r="CR75" s="63"/>
      <c r="CS75" s="63"/>
      <c r="CT75" s="63"/>
      <c r="CU75" s="63"/>
      <c r="CV75" s="63"/>
      <c r="CW75" s="63"/>
      <c r="CX75" s="63"/>
      <c r="CY75" s="63"/>
      <c r="CZ75" s="63"/>
      <c r="DA75" s="63"/>
      <c r="DB75" s="63"/>
      <c r="DC75" s="63"/>
      <c r="DD75" s="63"/>
      <c r="DE75" s="63"/>
      <c r="DF75" s="63"/>
      <c r="DG75" s="63"/>
      <c r="DH75" s="63"/>
      <c r="DI75" s="63"/>
      <c r="DJ75" s="63"/>
      <c r="DK75" s="63"/>
      <c r="DL75" s="63"/>
      <c r="DM75" s="63"/>
      <c r="DN75" s="63"/>
      <c r="DO75" s="63"/>
      <c r="DP75" s="63"/>
      <c r="DQ75" s="63"/>
      <c r="DR75" s="63"/>
      <c r="DS75" s="63"/>
      <c r="DT75" s="63"/>
      <c r="DU75" s="63"/>
      <c r="DV75" s="63"/>
      <c r="DW75" s="63"/>
      <c r="DX75" s="63"/>
      <c r="DY75" s="63"/>
      <c r="DZ75" s="63"/>
      <c r="EA75" s="63"/>
      <c r="EB75" s="63"/>
      <c r="EC75" s="63"/>
      <c r="ED75" s="63"/>
      <c r="EE75" s="63"/>
      <c r="EF75" s="63"/>
      <c r="EG75" s="63"/>
      <c r="EH75" s="63"/>
      <c r="EI75" s="63"/>
      <c r="EJ75" s="63"/>
      <c r="EK75" s="63"/>
      <c r="EL75" s="63"/>
      <c r="EM75" s="63"/>
      <c r="EN75" s="63"/>
      <c r="EO75" s="63"/>
      <c r="EP75" s="63"/>
      <c r="EQ75" s="63"/>
      <c r="ER75" s="63"/>
      <c r="ES75" s="63"/>
      <c r="ET75" s="63"/>
      <c r="EU75" s="63"/>
      <c r="EV75" s="63"/>
      <c r="EW75" s="63"/>
      <c r="EX75" s="63"/>
      <c r="EY75" s="63"/>
      <c r="EZ75" s="63"/>
      <c r="FA75" s="63"/>
      <c r="FB75" s="63"/>
      <c r="FC75" s="63"/>
      <c r="FD75" s="63"/>
      <c r="FE75" s="63"/>
      <c r="FF75" s="63"/>
      <c r="FG75" s="63"/>
      <c r="FH75" s="63"/>
      <c r="FI75" s="63"/>
      <c r="FJ75" s="63"/>
      <c r="FK75" s="63"/>
      <c r="FL75" s="63"/>
    </row>
    <row r="76" spans="1:168" x14ac:dyDescent="0.25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  <c r="BH76" s="63"/>
      <c r="BI76" s="63"/>
      <c r="BJ76" s="63"/>
      <c r="BK76" s="63"/>
      <c r="BL76" s="63"/>
      <c r="BM76" s="63"/>
      <c r="BN76" s="63"/>
      <c r="BO76" s="63"/>
      <c r="BP76" s="63"/>
      <c r="BQ76" s="63"/>
      <c r="BR76" s="63"/>
      <c r="BS76" s="63"/>
      <c r="BT76" s="63"/>
      <c r="BU76" s="63"/>
      <c r="BV76" s="63"/>
      <c r="BW76" s="63"/>
      <c r="BX76" s="63"/>
      <c r="BY76" s="63"/>
      <c r="BZ76" s="63"/>
      <c r="CA76" s="63"/>
      <c r="CB76" s="63"/>
      <c r="CC76" s="63"/>
      <c r="CD76" s="63"/>
      <c r="CE76" s="63"/>
      <c r="CF76" s="63"/>
      <c r="CG76" s="63"/>
      <c r="CH76" s="63"/>
      <c r="CI76" s="63"/>
      <c r="CJ76" s="63"/>
      <c r="CK76" s="63"/>
      <c r="CL76" s="63"/>
      <c r="CM76" s="63"/>
      <c r="CN76" s="63"/>
      <c r="CO76" s="63"/>
      <c r="CP76" s="63"/>
      <c r="CQ76" s="63"/>
      <c r="CR76" s="63"/>
      <c r="CS76" s="63"/>
      <c r="CT76" s="63"/>
      <c r="CU76" s="63"/>
      <c r="CV76" s="63"/>
      <c r="CW76" s="63"/>
      <c r="CX76" s="63"/>
      <c r="CY76" s="63"/>
      <c r="CZ76" s="63"/>
      <c r="DA76" s="63"/>
      <c r="DB76" s="63"/>
      <c r="DC76" s="63"/>
      <c r="DD76" s="63"/>
      <c r="DE76" s="63"/>
      <c r="DF76" s="63"/>
      <c r="DG76" s="63"/>
      <c r="DH76" s="63"/>
      <c r="DI76" s="63"/>
      <c r="DJ76" s="63"/>
      <c r="DK76" s="63"/>
      <c r="DL76" s="63"/>
      <c r="DM76" s="63"/>
      <c r="DN76" s="63"/>
      <c r="DO76" s="63"/>
      <c r="DP76" s="63"/>
      <c r="DQ76" s="63"/>
      <c r="DR76" s="63"/>
      <c r="DS76" s="63"/>
      <c r="DT76" s="63"/>
      <c r="DU76" s="63"/>
      <c r="DV76" s="63"/>
      <c r="DW76" s="63"/>
      <c r="DX76" s="63"/>
      <c r="DY76" s="63"/>
      <c r="DZ76" s="63"/>
      <c r="EA76" s="63"/>
      <c r="EB76" s="63"/>
      <c r="EC76" s="63"/>
      <c r="ED76" s="63"/>
      <c r="EE76" s="63"/>
      <c r="EF76" s="63"/>
      <c r="EG76" s="63"/>
      <c r="EH76" s="63"/>
      <c r="EI76" s="63"/>
      <c r="EJ76" s="63"/>
      <c r="EK76" s="63"/>
      <c r="EL76" s="63"/>
      <c r="EM76" s="63"/>
      <c r="EN76" s="63"/>
      <c r="EO76" s="63"/>
      <c r="EP76" s="63"/>
      <c r="EQ76" s="63"/>
      <c r="ER76" s="63"/>
      <c r="ES76" s="63"/>
      <c r="ET76" s="63"/>
      <c r="EU76" s="63"/>
      <c r="EV76" s="63"/>
      <c r="EW76" s="63"/>
      <c r="EX76" s="63"/>
      <c r="EY76" s="63"/>
      <c r="EZ76" s="63"/>
      <c r="FA76" s="63"/>
      <c r="FB76" s="63"/>
      <c r="FC76" s="63"/>
      <c r="FD76" s="63"/>
      <c r="FE76" s="63"/>
      <c r="FF76" s="63"/>
      <c r="FG76" s="63"/>
      <c r="FH76" s="63"/>
      <c r="FI76" s="63"/>
      <c r="FJ76" s="63"/>
      <c r="FK76" s="63"/>
      <c r="FL76" s="63"/>
    </row>
    <row r="77" spans="1:168" x14ac:dyDescent="0.25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63"/>
      <c r="AV77" s="63"/>
      <c r="AW77" s="63"/>
      <c r="AX77" s="63"/>
      <c r="AY77" s="63"/>
      <c r="AZ77" s="63"/>
      <c r="BA77" s="63"/>
      <c r="BB77" s="63"/>
      <c r="BC77" s="63"/>
      <c r="BD77" s="63"/>
      <c r="BE77" s="63"/>
      <c r="BF77" s="63"/>
      <c r="BG77" s="63"/>
      <c r="BH77" s="63"/>
      <c r="BI77" s="63"/>
      <c r="BJ77" s="63"/>
      <c r="BK77" s="63"/>
      <c r="BL77" s="63"/>
      <c r="BM77" s="63"/>
      <c r="BN77" s="63"/>
      <c r="BO77" s="63"/>
      <c r="BP77" s="63"/>
      <c r="BQ77" s="63"/>
      <c r="BR77" s="63"/>
      <c r="BS77" s="63"/>
      <c r="BT77" s="63"/>
      <c r="BU77" s="63"/>
      <c r="BV77" s="63"/>
      <c r="BW77" s="63"/>
      <c r="BX77" s="63"/>
      <c r="BY77" s="63"/>
      <c r="BZ77" s="63"/>
      <c r="CA77" s="63"/>
      <c r="CB77" s="63"/>
      <c r="CC77" s="63"/>
      <c r="CD77" s="63"/>
      <c r="CE77" s="63"/>
      <c r="CF77" s="63"/>
      <c r="CG77" s="63"/>
      <c r="CH77" s="63"/>
      <c r="CI77" s="63"/>
      <c r="CJ77" s="63"/>
      <c r="CK77" s="63"/>
      <c r="CL77" s="63"/>
      <c r="CM77" s="63"/>
      <c r="CN77" s="63"/>
      <c r="CO77" s="63"/>
      <c r="CP77" s="63"/>
      <c r="CQ77" s="63"/>
      <c r="CR77" s="63"/>
      <c r="CS77" s="63"/>
      <c r="CT77" s="63"/>
      <c r="CU77" s="63"/>
      <c r="CV77" s="63"/>
      <c r="CW77" s="63"/>
      <c r="CX77" s="63"/>
      <c r="CY77" s="63"/>
      <c r="CZ77" s="63"/>
      <c r="DA77" s="63"/>
      <c r="DB77" s="63"/>
      <c r="DC77" s="63"/>
      <c r="DD77" s="63"/>
      <c r="DE77" s="63"/>
      <c r="DF77" s="63"/>
      <c r="DG77" s="63"/>
      <c r="DH77" s="63"/>
      <c r="DI77" s="63"/>
      <c r="DJ77" s="63"/>
      <c r="DK77" s="63"/>
      <c r="DL77" s="63"/>
      <c r="DM77" s="63"/>
      <c r="DN77" s="63"/>
      <c r="DO77" s="63"/>
      <c r="DP77" s="63"/>
      <c r="DQ77" s="63"/>
      <c r="DR77" s="63"/>
      <c r="DS77" s="63"/>
      <c r="DT77" s="63"/>
      <c r="DU77" s="63"/>
      <c r="DV77" s="63"/>
      <c r="DW77" s="63"/>
      <c r="DX77" s="63"/>
      <c r="DY77" s="63"/>
      <c r="DZ77" s="63"/>
      <c r="EA77" s="63"/>
      <c r="EB77" s="63"/>
      <c r="EC77" s="63"/>
      <c r="ED77" s="63"/>
      <c r="EE77" s="63"/>
      <c r="EF77" s="63"/>
      <c r="EG77" s="63"/>
      <c r="EH77" s="63"/>
      <c r="EI77" s="63"/>
      <c r="EJ77" s="63"/>
      <c r="EK77" s="63"/>
      <c r="EL77" s="63"/>
      <c r="EM77" s="63"/>
      <c r="EN77" s="63"/>
      <c r="EO77" s="63"/>
      <c r="EP77" s="63"/>
      <c r="EQ77" s="63"/>
      <c r="ER77" s="63"/>
      <c r="ES77" s="63"/>
      <c r="ET77" s="63"/>
      <c r="EU77" s="63"/>
      <c r="EV77" s="63"/>
      <c r="EW77" s="63"/>
      <c r="EX77" s="63"/>
      <c r="EY77" s="63"/>
      <c r="EZ77" s="63"/>
      <c r="FA77" s="63"/>
      <c r="FB77" s="63"/>
      <c r="FC77" s="63"/>
      <c r="FD77" s="63"/>
      <c r="FE77" s="63"/>
      <c r="FF77" s="63"/>
      <c r="FG77" s="63"/>
      <c r="FH77" s="63"/>
      <c r="FI77" s="63"/>
      <c r="FJ77" s="63"/>
      <c r="FK77" s="63"/>
      <c r="FL77" s="63"/>
    </row>
    <row r="78" spans="1:168" x14ac:dyDescent="0.25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63"/>
      <c r="AV78" s="63"/>
      <c r="AW78" s="63"/>
      <c r="AX78" s="63"/>
      <c r="AY78" s="63"/>
      <c r="AZ78" s="63"/>
      <c r="BA78" s="63"/>
      <c r="BB78" s="63"/>
      <c r="BC78" s="63"/>
      <c r="BD78" s="63"/>
      <c r="BE78" s="63"/>
      <c r="BF78" s="63"/>
      <c r="BG78" s="63"/>
      <c r="BH78" s="63"/>
      <c r="BI78" s="63"/>
      <c r="BJ78" s="63"/>
      <c r="BK78" s="63"/>
      <c r="BL78" s="63"/>
      <c r="BM78" s="63"/>
      <c r="BN78" s="63"/>
      <c r="BO78" s="63"/>
      <c r="BP78" s="63"/>
      <c r="BQ78" s="63"/>
      <c r="BR78" s="63"/>
      <c r="BS78" s="63"/>
      <c r="BT78" s="63"/>
      <c r="BU78" s="63"/>
      <c r="BV78" s="63"/>
      <c r="BW78" s="63"/>
      <c r="BX78" s="63"/>
      <c r="BY78" s="63"/>
      <c r="BZ78" s="63"/>
      <c r="CA78" s="63"/>
      <c r="CB78" s="63"/>
      <c r="CC78" s="63"/>
      <c r="CD78" s="63"/>
      <c r="CE78" s="63"/>
      <c r="CF78" s="63"/>
      <c r="CG78" s="63"/>
      <c r="CH78" s="63"/>
      <c r="CI78" s="63"/>
      <c r="CJ78" s="63"/>
      <c r="CK78" s="63"/>
      <c r="CL78" s="63"/>
      <c r="CM78" s="63"/>
      <c r="CN78" s="63"/>
      <c r="CO78" s="63"/>
      <c r="CP78" s="63"/>
      <c r="CQ78" s="63"/>
      <c r="CR78" s="63"/>
      <c r="CS78" s="63"/>
      <c r="CT78" s="63"/>
      <c r="CU78" s="63"/>
      <c r="CV78" s="63"/>
      <c r="CW78" s="63"/>
      <c r="CX78" s="63"/>
      <c r="CY78" s="63"/>
      <c r="CZ78" s="63"/>
      <c r="DA78" s="63"/>
      <c r="DB78" s="63"/>
      <c r="DC78" s="63"/>
      <c r="DD78" s="63"/>
      <c r="DE78" s="63"/>
      <c r="DF78" s="63"/>
      <c r="DG78" s="63"/>
      <c r="DH78" s="63"/>
      <c r="DI78" s="63"/>
      <c r="DJ78" s="63"/>
      <c r="DK78" s="63"/>
      <c r="DL78" s="63"/>
      <c r="DM78" s="63"/>
      <c r="DN78" s="63"/>
      <c r="DO78" s="63"/>
      <c r="DP78" s="63"/>
      <c r="DQ78" s="63"/>
      <c r="DR78" s="63"/>
      <c r="DS78" s="63"/>
      <c r="DT78" s="63"/>
      <c r="DU78" s="63"/>
      <c r="DV78" s="63"/>
      <c r="DW78" s="63"/>
      <c r="DX78" s="63"/>
      <c r="DY78" s="63"/>
      <c r="DZ78" s="63"/>
      <c r="EA78" s="63"/>
      <c r="EB78" s="63"/>
      <c r="EC78" s="63"/>
      <c r="ED78" s="63"/>
      <c r="EE78" s="63"/>
      <c r="EF78" s="63"/>
      <c r="EG78" s="63"/>
      <c r="EH78" s="63"/>
      <c r="EI78" s="63"/>
      <c r="EJ78" s="63"/>
      <c r="EK78" s="63"/>
      <c r="EL78" s="63"/>
      <c r="EM78" s="63"/>
      <c r="EN78" s="63"/>
      <c r="EO78" s="63"/>
      <c r="EP78" s="63"/>
      <c r="EQ78" s="63"/>
      <c r="ER78" s="63"/>
      <c r="ES78" s="63"/>
      <c r="ET78" s="63"/>
      <c r="EU78" s="63"/>
      <c r="EV78" s="63"/>
      <c r="EW78" s="63"/>
      <c r="EX78" s="63"/>
      <c r="EY78" s="63"/>
      <c r="EZ78" s="63"/>
      <c r="FA78" s="63"/>
      <c r="FB78" s="63"/>
      <c r="FC78" s="63"/>
      <c r="FD78" s="63"/>
      <c r="FE78" s="63"/>
      <c r="FF78" s="63"/>
      <c r="FG78" s="63"/>
      <c r="FH78" s="63"/>
      <c r="FI78" s="63"/>
      <c r="FJ78" s="63"/>
      <c r="FK78" s="63"/>
      <c r="FL78" s="63"/>
    </row>
    <row r="79" spans="1:168" x14ac:dyDescent="0.25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AW79" s="63"/>
      <c r="AX79" s="63"/>
      <c r="AY79" s="63"/>
      <c r="AZ79" s="63"/>
      <c r="BA79" s="63"/>
      <c r="BB79" s="63"/>
      <c r="BC79" s="63"/>
      <c r="BD79" s="63"/>
      <c r="BE79" s="63"/>
      <c r="BF79" s="63"/>
      <c r="BG79" s="63"/>
      <c r="BH79" s="63"/>
      <c r="BI79" s="63"/>
      <c r="BJ79" s="63"/>
      <c r="BK79" s="63"/>
      <c r="BL79" s="63"/>
      <c r="BM79" s="63"/>
      <c r="BN79" s="63"/>
      <c r="BO79" s="63"/>
      <c r="BP79" s="63"/>
      <c r="BQ79" s="63"/>
      <c r="BR79" s="63"/>
      <c r="BS79" s="63"/>
      <c r="BT79" s="63"/>
      <c r="BU79" s="63"/>
      <c r="BV79" s="63"/>
      <c r="BW79" s="63"/>
      <c r="BX79" s="63"/>
      <c r="BY79" s="63"/>
      <c r="BZ79" s="63"/>
      <c r="CA79" s="63"/>
      <c r="CB79" s="63"/>
      <c r="CC79" s="63"/>
      <c r="CD79" s="63"/>
      <c r="CE79" s="63"/>
      <c r="CF79" s="63"/>
      <c r="CG79" s="63"/>
      <c r="CH79" s="63"/>
      <c r="CI79" s="63"/>
      <c r="CJ79" s="63"/>
      <c r="CK79" s="63"/>
      <c r="CL79" s="63"/>
      <c r="CM79" s="63"/>
      <c r="CN79" s="63"/>
      <c r="CO79" s="63"/>
      <c r="CP79" s="63"/>
      <c r="CQ79" s="63"/>
      <c r="CR79" s="63"/>
      <c r="CS79" s="63"/>
      <c r="CT79" s="63"/>
      <c r="CU79" s="63"/>
      <c r="CV79" s="63"/>
      <c r="CW79" s="63"/>
      <c r="CX79" s="63"/>
      <c r="CY79" s="63"/>
      <c r="CZ79" s="63"/>
      <c r="DA79" s="63"/>
      <c r="DB79" s="63"/>
      <c r="DC79" s="63"/>
      <c r="DD79" s="63"/>
      <c r="DE79" s="63"/>
      <c r="DF79" s="63"/>
      <c r="DG79" s="63"/>
      <c r="DH79" s="63"/>
      <c r="DI79" s="63"/>
      <c r="DJ79" s="63"/>
      <c r="DK79" s="63"/>
      <c r="DL79" s="63"/>
      <c r="DM79" s="63"/>
      <c r="DN79" s="63"/>
      <c r="DO79" s="63"/>
      <c r="DP79" s="63"/>
      <c r="DQ79" s="63"/>
      <c r="DR79" s="63"/>
      <c r="DS79" s="63"/>
      <c r="DT79" s="63"/>
      <c r="DU79" s="63"/>
      <c r="DV79" s="63"/>
      <c r="DW79" s="63"/>
      <c r="DX79" s="63"/>
      <c r="DY79" s="63"/>
      <c r="DZ79" s="63"/>
      <c r="EA79" s="63"/>
      <c r="EB79" s="63"/>
      <c r="EC79" s="63"/>
      <c r="ED79" s="63"/>
      <c r="EE79" s="63"/>
      <c r="EF79" s="63"/>
      <c r="EG79" s="63"/>
      <c r="EH79" s="63"/>
      <c r="EI79" s="63"/>
      <c r="EJ79" s="63"/>
      <c r="EK79" s="63"/>
      <c r="EL79" s="63"/>
      <c r="EM79" s="63"/>
      <c r="EN79" s="63"/>
      <c r="EO79" s="63"/>
      <c r="EP79" s="63"/>
      <c r="EQ79" s="63"/>
      <c r="ER79" s="63"/>
      <c r="ES79" s="63"/>
      <c r="ET79" s="63"/>
      <c r="EU79" s="63"/>
      <c r="EV79" s="63"/>
      <c r="EW79" s="63"/>
      <c r="EX79" s="63"/>
      <c r="EY79" s="63"/>
      <c r="EZ79" s="63"/>
      <c r="FA79" s="63"/>
      <c r="FB79" s="63"/>
      <c r="FC79" s="63"/>
      <c r="FD79" s="63"/>
      <c r="FE79" s="63"/>
      <c r="FF79" s="63"/>
      <c r="FG79" s="63"/>
      <c r="FH79" s="63"/>
      <c r="FI79" s="63"/>
      <c r="FJ79" s="63"/>
      <c r="FK79" s="63"/>
      <c r="FL79" s="63"/>
    </row>
    <row r="80" spans="1:168" x14ac:dyDescent="0.25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BH80" s="63"/>
      <c r="BI80" s="63"/>
      <c r="BJ80" s="63"/>
      <c r="BK80" s="63"/>
      <c r="BL80" s="63"/>
      <c r="BM80" s="63"/>
      <c r="BN80" s="63"/>
      <c r="BO80" s="63"/>
      <c r="BP80" s="63"/>
      <c r="BQ80" s="63"/>
      <c r="BR80" s="63"/>
      <c r="BS80" s="63"/>
      <c r="BT80" s="63"/>
      <c r="BU80" s="63"/>
      <c r="BV80" s="63"/>
      <c r="BW80" s="63"/>
      <c r="BX80" s="63"/>
      <c r="BY80" s="63"/>
      <c r="BZ80" s="63"/>
      <c r="CA80" s="63"/>
      <c r="CB80" s="63"/>
      <c r="CC80" s="63"/>
      <c r="CD80" s="63"/>
      <c r="CE80" s="63"/>
      <c r="CF80" s="63"/>
      <c r="CG80" s="63"/>
      <c r="CH80" s="63"/>
      <c r="CI80" s="63"/>
      <c r="CJ80" s="63"/>
      <c r="CK80" s="63"/>
      <c r="CL80" s="63"/>
      <c r="CM80" s="63"/>
      <c r="CN80" s="63"/>
      <c r="CO80" s="63"/>
      <c r="CP80" s="63"/>
      <c r="CQ80" s="63"/>
      <c r="CR80" s="63"/>
      <c r="CS80" s="63"/>
      <c r="CT80" s="63"/>
      <c r="CU80" s="63"/>
      <c r="CV80" s="63"/>
      <c r="CW80" s="63"/>
      <c r="CX80" s="63"/>
      <c r="CY80" s="63"/>
      <c r="CZ80" s="63"/>
      <c r="DA80" s="63"/>
      <c r="DB80" s="63"/>
      <c r="DC80" s="63"/>
      <c r="DD80" s="63"/>
      <c r="DE80" s="63"/>
      <c r="DF80" s="63"/>
      <c r="DG80" s="63"/>
      <c r="DH80" s="63"/>
      <c r="DI80" s="63"/>
      <c r="DJ80" s="63"/>
      <c r="DK80" s="63"/>
      <c r="DL80" s="63"/>
      <c r="DM80" s="63"/>
      <c r="DN80" s="63"/>
      <c r="DO80" s="63"/>
      <c r="DP80" s="63"/>
      <c r="DQ80" s="63"/>
      <c r="DR80" s="63"/>
      <c r="DS80" s="63"/>
      <c r="DT80" s="63"/>
      <c r="DU80" s="63"/>
      <c r="DV80" s="63"/>
      <c r="DW80" s="63"/>
      <c r="DX80" s="63"/>
      <c r="DY80" s="63"/>
      <c r="DZ80" s="63"/>
      <c r="EA80" s="63"/>
      <c r="EB80" s="63"/>
      <c r="EC80" s="63"/>
      <c r="ED80" s="63"/>
      <c r="EE80" s="63"/>
      <c r="EF80" s="63"/>
      <c r="EG80" s="63"/>
      <c r="EH80" s="63"/>
      <c r="EI80" s="63"/>
      <c r="EJ80" s="63"/>
      <c r="EK80" s="63"/>
      <c r="EL80" s="63"/>
      <c r="EM80" s="63"/>
      <c r="EN80" s="63"/>
      <c r="EO80" s="63"/>
      <c r="EP80" s="63"/>
      <c r="EQ80" s="63"/>
      <c r="ER80" s="63"/>
      <c r="ES80" s="63"/>
      <c r="ET80" s="63"/>
      <c r="EU80" s="63"/>
      <c r="EV80" s="63"/>
      <c r="EW80" s="63"/>
      <c r="EX80" s="63"/>
      <c r="EY80" s="63"/>
      <c r="EZ80" s="63"/>
      <c r="FA80" s="63"/>
      <c r="FB80" s="63"/>
      <c r="FC80" s="63"/>
      <c r="FD80" s="63"/>
      <c r="FE80" s="63"/>
      <c r="FF80" s="63"/>
      <c r="FG80" s="63"/>
      <c r="FH80" s="63"/>
      <c r="FI80" s="63"/>
      <c r="FJ80" s="63"/>
      <c r="FK80" s="63"/>
      <c r="FL80" s="63"/>
    </row>
    <row r="81" spans="1:168" x14ac:dyDescent="0.25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BH81" s="63"/>
      <c r="BI81" s="63"/>
      <c r="BJ81" s="63"/>
      <c r="BK81" s="63"/>
      <c r="BL81" s="63"/>
      <c r="BM81" s="63"/>
      <c r="BN81" s="63"/>
      <c r="BO81" s="63"/>
      <c r="BP81" s="63"/>
      <c r="BQ81" s="63"/>
      <c r="BR81" s="63"/>
      <c r="BS81" s="63"/>
      <c r="BT81" s="63"/>
      <c r="BU81" s="63"/>
      <c r="BV81" s="63"/>
      <c r="BW81" s="63"/>
      <c r="BX81" s="63"/>
      <c r="BY81" s="63"/>
      <c r="BZ81" s="63"/>
      <c r="CA81" s="63"/>
      <c r="CB81" s="63"/>
      <c r="CC81" s="63"/>
      <c r="CD81" s="63"/>
      <c r="CE81" s="63"/>
      <c r="CF81" s="63"/>
      <c r="CG81" s="63"/>
      <c r="CH81" s="63"/>
      <c r="CI81" s="63"/>
      <c r="CJ81" s="63"/>
      <c r="CK81" s="63"/>
      <c r="CL81" s="63"/>
      <c r="CM81" s="63"/>
      <c r="CN81" s="63"/>
      <c r="CO81" s="63"/>
      <c r="CP81" s="63"/>
      <c r="CQ81" s="63"/>
      <c r="CR81" s="63"/>
      <c r="CS81" s="63"/>
      <c r="CT81" s="63"/>
      <c r="CU81" s="63"/>
      <c r="CV81" s="63"/>
      <c r="CW81" s="63"/>
      <c r="CX81" s="63"/>
      <c r="CY81" s="63"/>
      <c r="CZ81" s="63"/>
      <c r="DA81" s="63"/>
      <c r="DB81" s="63"/>
      <c r="DC81" s="63"/>
      <c r="DD81" s="63"/>
      <c r="DE81" s="63"/>
      <c r="DF81" s="63"/>
      <c r="DG81" s="63"/>
      <c r="DH81" s="63"/>
      <c r="DI81" s="63"/>
      <c r="DJ81" s="63"/>
      <c r="DK81" s="63"/>
      <c r="DL81" s="63"/>
      <c r="DM81" s="63"/>
      <c r="DN81" s="63"/>
      <c r="DO81" s="63"/>
      <c r="DP81" s="63"/>
      <c r="DQ81" s="63"/>
      <c r="DR81" s="63"/>
      <c r="DS81" s="63"/>
      <c r="DT81" s="63"/>
      <c r="DU81" s="63"/>
      <c r="DV81" s="63"/>
      <c r="DW81" s="63"/>
      <c r="DX81" s="63"/>
      <c r="DY81" s="63"/>
      <c r="DZ81" s="63"/>
      <c r="EA81" s="63"/>
      <c r="EB81" s="63"/>
      <c r="EC81" s="63"/>
      <c r="ED81" s="63"/>
      <c r="EE81" s="63"/>
      <c r="EF81" s="63"/>
      <c r="EG81" s="63"/>
      <c r="EH81" s="63"/>
      <c r="EI81" s="63"/>
      <c r="EJ81" s="63"/>
      <c r="EK81" s="63"/>
      <c r="EL81" s="63"/>
      <c r="EM81" s="63"/>
      <c r="EN81" s="63"/>
      <c r="EO81" s="63"/>
      <c r="EP81" s="63"/>
      <c r="EQ81" s="63"/>
      <c r="ER81" s="63"/>
      <c r="ES81" s="63"/>
      <c r="ET81" s="63"/>
      <c r="EU81" s="63"/>
      <c r="EV81" s="63"/>
      <c r="EW81" s="63"/>
      <c r="EX81" s="63"/>
      <c r="EY81" s="63"/>
      <c r="EZ81" s="63"/>
      <c r="FA81" s="63"/>
      <c r="FB81" s="63"/>
      <c r="FC81" s="63"/>
      <c r="FD81" s="63"/>
      <c r="FE81" s="63"/>
      <c r="FF81" s="63"/>
      <c r="FG81" s="63"/>
      <c r="FH81" s="63"/>
      <c r="FI81" s="63"/>
      <c r="FJ81" s="63"/>
      <c r="FK81" s="63"/>
      <c r="FL81" s="63"/>
    </row>
    <row r="82" spans="1:168" x14ac:dyDescent="0.25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BH82" s="63"/>
      <c r="BI82" s="63"/>
      <c r="BJ82" s="63"/>
      <c r="BK82" s="63"/>
      <c r="BL82" s="63"/>
      <c r="BM82" s="63"/>
      <c r="BN82" s="63"/>
      <c r="BO82" s="63"/>
      <c r="BP82" s="63"/>
      <c r="BQ82" s="63"/>
      <c r="BR82" s="63"/>
      <c r="BS82" s="63"/>
      <c r="BT82" s="63"/>
      <c r="BU82" s="63"/>
      <c r="BV82" s="63"/>
      <c r="BW82" s="63"/>
      <c r="BX82" s="63"/>
      <c r="BY82" s="63"/>
      <c r="BZ82" s="63"/>
      <c r="CA82" s="63"/>
      <c r="CB82" s="63"/>
      <c r="CC82" s="63"/>
      <c r="CD82" s="63"/>
      <c r="CE82" s="63"/>
      <c r="CF82" s="63"/>
      <c r="CG82" s="63"/>
      <c r="CH82" s="63"/>
      <c r="CI82" s="63"/>
      <c r="CJ82" s="63"/>
      <c r="CK82" s="63"/>
      <c r="CL82" s="63"/>
      <c r="CM82" s="63"/>
      <c r="CN82" s="63"/>
      <c r="CO82" s="63"/>
      <c r="CP82" s="63"/>
      <c r="CQ82" s="63"/>
      <c r="CR82" s="63"/>
      <c r="CS82" s="63"/>
      <c r="CT82" s="63"/>
      <c r="CU82" s="63"/>
      <c r="CV82" s="63"/>
      <c r="CW82" s="63"/>
      <c r="CX82" s="63"/>
      <c r="CY82" s="63"/>
      <c r="CZ82" s="63"/>
      <c r="DA82" s="63"/>
      <c r="DB82" s="63"/>
      <c r="DC82" s="63"/>
      <c r="DD82" s="63"/>
      <c r="DE82" s="63"/>
      <c r="DF82" s="63"/>
      <c r="DG82" s="63"/>
      <c r="DH82" s="63"/>
      <c r="DI82" s="63"/>
      <c r="DJ82" s="63"/>
      <c r="DK82" s="63"/>
      <c r="DL82" s="63"/>
      <c r="DM82" s="63"/>
      <c r="DN82" s="63"/>
      <c r="DO82" s="63"/>
      <c r="DP82" s="63"/>
      <c r="DQ82" s="63"/>
      <c r="DR82" s="63"/>
      <c r="DS82" s="63"/>
      <c r="DT82" s="63"/>
      <c r="DU82" s="63"/>
      <c r="DV82" s="63"/>
      <c r="DW82" s="63"/>
      <c r="DX82" s="63"/>
      <c r="DY82" s="63"/>
      <c r="DZ82" s="63"/>
      <c r="EA82" s="63"/>
      <c r="EB82" s="63"/>
      <c r="EC82" s="63"/>
      <c r="ED82" s="63"/>
      <c r="EE82" s="63"/>
      <c r="EF82" s="63"/>
      <c r="EG82" s="63"/>
      <c r="EH82" s="63"/>
      <c r="EI82" s="63"/>
      <c r="EJ82" s="63"/>
      <c r="EK82" s="63"/>
      <c r="EL82" s="63"/>
      <c r="EM82" s="63"/>
      <c r="EN82" s="63"/>
      <c r="EO82" s="63"/>
      <c r="EP82" s="63"/>
      <c r="EQ82" s="63"/>
      <c r="ER82" s="63"/>
      <c r="ES82" s="63"/>
      <c r="ET82" s="63"/>
      <c r="EU82" s="63"/>
      <c r="EV82" s="63"/>
      <c r="EW82" s="63"/>
      <c r="EX82" s="63"/>
      <c r="EY82" s="63"/>
      <c r="EZ82" s="63"/>
      <c r="FA82" s="63"/>
      <c r="FB82" s="63"/>
      <c r="FC82" s="63"/>
      <c r="FD82" s="63"/>
      <c r="FE82" s="63"/>
      <c r="FF82" s="63"/>
      <c r="FG82" s="63"/>
      <c r="FH82" s="63"/>
      <c r="FI82" s="63"/>
      <c r="FJ82" s="63"/>
      <c r="FK82" s="63"/>
      <c r="FL82" s="63"/>
    </row>
    <row r="83" spans="1:168" x14ac:dyDescent="0.25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BH83" s="63"/>
      <c r="BI83" s="63"/>
      <c r="BJ83" s="63"/>
      <c r="BK83" s="63"/>
      <c r="BL83" s="63"/>
      <c r="BM83" s="63"/>
      <c r="BN83" s="63"/>
      <c r="BO83" s="63"/>
      <c r="BP83" s="63"/>
      <c r="BQ83" s="63"/>
      <c r="BR83" s="63"/>
      <c r="BS83" s="63"/>
      <c r="BT83" s="63"/>
      <c r="BU83" s="63"/>
      <c r="BV83" s="63"/>
      <c r="BW83" s="63"/>
      <c r="BX83" s="63"/>
      <c r="BY83" s="63"/>
      <c r="BZ83" s="63"/>
      <c r="CA83" s="63"/>
      <c r="CB83" s="63"/>
      <c r="CC83" s="63"/>
      <c r="CD83" s="63"/>
      <c r="CE83" s="63"/>
      <c r="CF83" s="63"/>
      <c r="CG83" s="63"/>
      <c r="CH83" s="63"/>
      <c r="CI83" s="63"/>
      <c r="CJ83" s="63"/>
      <c r="CK83" s="63"/>
      <c r="CL83" s="63"/>
      <c r="CM83" s="63"/>
      <c r="CN83" s="63"/>
      <c r="CO83" s="63"/>
      <c r="CP83" s="63"/>
      <c r="CQ83" s="63"/>
      <c r="CR83" s="63"/>
      <c r="CS83" s="63"/>
      <c r="CT83" s="63"/>
      <c r="CU83" s="63"/>
      <c r="CV83" s="63"/>
      <c r="CW83" s="63"/>
      <c r="CX83" s="63"/>
      <c r="CY83" s="63"/>
      <c r="CZ83" s="63"/>
      <c r="DA83" s="63"/>
      <c r="DB83" s="63"/>
      <c r="DC83" s="63"/>
      <c r="DD83" s="63"/>
      <c r="DE83" s="63"/>
      <c r="DF83" s="63"/>
      <c r="DG83" s="63"/>
      <c r="DH83" s="63"/>
      <c r="DI83" s="63"/>
      <c r="DJ83" s="63"/>
      <c r="DK83" s="63"/>
      <c r="DL83" s="63"/>
      <c r="DM83" s="63"/>
      <c r="DN83" s="63"/>
      <c r="DO83" s="63"/>
      <c r="DP83" s="63"/>
      <c r="DQ83" s="63"/>
      <c r="DR83" s="63"/>
      <c r="DS83" s="63"/>
      <c r="DT83" s="63"/>
      <c r="DU83" s="63"/>
      <c r="DV83" s="63"/>
      <c r="DW83" s="63"/>
      <c r="DX83" s="63"/>
      <c r="DY83" s="63"/>
      <c r="DZ83" s="63"/>
      <c r="EA83" s="63"/>
      <c r="EB83" s="63"/>
      <c r="EC83" s="63"/>
      <c r="ED83" s="63"/>
      <c r="EE83" s="63"/>
      <c r="EF83" s="63"/>
      <c r="EG83" s="63"/>
      <c r="EH83" s="63"/>
      <c r="EI83" s="63"/>
      <c r="EJ83" s="63"/>
      <c r="EK83" s="63"/>
      <c r="EL83" s="63"/>
      <c r="EM83" s="63"/>
      <c r="EN83" s="63"/>
      <c r="EO83" s="63"/>
      <c r="EP83" s="63"/>
      <c r="EQ83" s="63"/>
      <c r="ER83" s="63"/>
      <c r="ES83" s="63"/>
      <c r="ET83" s="63"/>
      <c r="EU83" s="63"/>
      <c r="EV83" s="63"/>
      <c r="EW83" s="63"/>
      <c r="EX83" s="63"/>
      <c r="EY83" s="63"/>
      <c r="EZ83" s="63"/>
      <c r="FA83" s="63"/>
      <c r="FB83" s="63"/>
      <c r="FC83" s="63"/>
      <c r="FD83" s="63"/>
      <c r="FE83" s="63"/>
      <c r="FF83" s="63"/>
      <c r="FG83" s="63"/>
      <c r="FH83" s="63"/>
      <c r="FI83" s="63"/>
      <c r="FJ83" s="63"/>
      <c r="FK83" s="63"/>
      <c r="FL83" s="63"/>
    </row>
    <row r="84" spans="1:168" x14ac:dyDescent="0.25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BH84" s="63"/>
      <c r="BI84" s="63"/>
      <c r="BJ84" s="63"/>
      <c r="BK84" s="63"/>
      <c r="BL84" s="63"/>
      <c r="BM84" s="63"/>
      <c r="BN84" s="63"/>
      <c r="BO84" s="63"/>
      <c r="BP84" s="63"/>
      <c r="BQ84" s="63"/>
      <c r="BR84" s="63"/>
      <c r="BS84" s="63"/>
      <c r="BT84" s="63"/>
      <c r="BU84" s="63"/>
      <c r="BV84" s="63"/>
      <c r="BW84" s="63"/>
      <c r="BX84" s="63"/>
      <c r="BY84" s="63"/>
      <c r="BZ84" s="63"/>
      <c r="CA84" s="63"/>
      <c r="CB84" s="63"/>
      <c r="CC84" s="63"/>
      <c r="CD84" s="63"/>
      <c r="CE84" s="63"/>
      <c r="CF84" s="63"/>
      <c r="CG84" s="63"/>
      <c r="CH84" s="63"/>
      <c r="CI84" s="63"/>
      <c r="CJ84" s="63"/>
      <c r="CK84" s="63"/>
      <c r="CL84" s="63"/>
      <c r="CM84" s="63"/>
      <c r="CN84" s="63"/>
      <c r="CO84" s="63"/>
      <c r="CP84" s="63"/>
      <c r="CQ84" s="63"/>
      <c r="CR84" s="63"/>
      <c r="CS84" s="63"/>
      <c r="CT84" s="63"/>
      <c r="CU84" s="63"/>
      <c r="CV84" s="63"/>
      <c r="CW84" s="63"/>
      <c r="CX84" s="63"/>
      <c r="CY84" s="63"/>
      <c r="CZ84" s="63"/>
      <c r="DA84" s="63"/>
      <c r="DB84" s="63"/>
      <c r="DC84" s="63"/>
      <c r="DD84" s="63"/>
      <c r="DE84" s="63"/>
      <c r="DF84" s="63"/>
      <c r="DG84" s="63"/>
      <c r="DH84" s="63"/>
      <c r="DI84" s="63"/>
      <c r="DJ84" s="63"/>
      <c r="DK84" s="63"/>
      <c r="DL84" s="63"/>
      <c r="DM84" s="63"/>
      <c r="DN84" s="63"/>
      <c r="DO84" s="63"/>
      <c r="DP84" s="63"/>
      <c r="DQ84" s="63"/>
      <c r="DR84" s="63"/>
      <c r="DS84" s="63"/>
      <c r="DT84" s="63"/>
      <c r="DU84" s="63"/>
      <c r="DV84" s="63"/>
      <c r="DW84" s="63"/>
      <c r="DX84" s="63"/>
      <c r="DY84" s="63"/>
      <c r="DZ84" s="63"/>
      <c r="EA84" s="63"/>
      <c r="EB84" s="63"/>
      <c r="EC84" s="63"/>
      <c r="ED84" s="63"/>
      <c r="EE84" s="63"/>
      <c r="EF84" s="63"/>
      <c r="EG84" s="63"/>
      <c r="EH84" s="63"/>
      <c r="EI84" s="63"/>
      <c r="EJ84" s="63"/>
      <c r="EK84" s="63"/>
      <c r="EL84" s="63"/>
      <c r="EM84" s="63"/>
      <c r="EN84" s="63"/>
      <c r="EO84" s="63"/>
      <c r="EP84" s="63"/>
      <c r="EQ84" s="63"/>
      <c r="ER84" s="63"/>
      <c r="ES84" s="63"/>
      <c r="ET84" s="63"/>
      <c r="EU84" s="63"/>
      <c r="EV84" s="63"/>
      <c r="EW84" s="63"/>
      <c r="EX84" s="63"/>
      <c r="EY84" s="63"/>
      <c r="EZ84" s="63"/>
      <c r="FA84" s="63"/>
      <c r="FB84" s="63"/>
      <c r="FC84" s="63"/>
      <c r="FD84" s="63"/>
      <c r="FE84" s="63"/>
      <c r="FF84" s="63"/>
      <c r="FG84" s="63"/>
      <c r="FH84" s="63"/>
      <c r="FI84" s="63"/>
      <c r="FJ84" s="63"/>
      <c r="FK84" s="63"/>
      <c r="FL84" s="63"/>
    </row>
    <row r="85" spans="1:168" x14ac:dyDescent="0.2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BH85" s="63"/>
      <c r="BI85" s="63"/>
      <c r="BJ85" s="63"/>
      <c r="BK85" s="63"/>
      <c r="BL85" s="63"/>
      <c r="BM85" s="63"/>
      <c r="BN85" s="63"/>
      <c r="BO85" s="63"/>
      <c r="BP85" s="63"/>
      <c r="BQ85" s="63"/>
      <c r="BR85" s="63"/>
      <c r="BS85" s="63"/>
      <c r="BT85" s="63"/>
      <c r="BU85" s="63"/>
      <c r="BV85" s="63"/>
      <c r="BW85" s="63"/>
      <c r="BX85" s="63"/>
      <c r="BY85" s="63"/>
      <c r="BZ85" s="63"/>
      <c r="CA85" s="63"/>
      <c r="CB85" s="63"/>
      <c r="CC85" s="63"/>
      <c r="CD85" s="63"/>
      <c r="CE85" s="63"/>
      <c r="CF85" s="63"/>
      <c r="CG85" s="63"/>
      <c r="CH85" s="63"/>
      <c r="CI85" s="63"/>
      <c r="CJ85" s="63"/>
      <c r="CK85" s="63"/>
      <c r="CL85" s="63"/>
      <c r="CM85" s="63"/>
      <c r="CN85" s="63"/>
      <c r="CO85" s="63"/>
      <c r="CP85" s="63"/>
      <c r="CQ85" s="63"/>
      <c r="CR85" s="63"/>
      <c r="CS85" s="63"/>
      <c r="CT85" s="63"/>
      <c r="CU85" s="63"/>
      <c r="CV85" s="63"/>
      <c r="CW85" s="63"/>
      <c r="CX85" s="63"/>
      <c r="CY85" s="63"/>
      <c r="CZ85" s="63"/>
      <c r="DA85" s="63"/>
      <c r="DB85" s="63"/>
      <c r="DC85" s="63"/>
      <c r="DD85" s="63"/>
      <c r="DE85" s="63"/>
      <c r="DF85" s="63"/>
      <c r="DG85" s="63"/>
      <c r="DH85" s="63"/>
      <c r="DI85" s="63"/>
      <c r="DJ85" s="63"/>
      <c r="DK85" s="63"/>
      <c r="DL85" s="63"/>
      <c r="DM85" s="63"/>
      <c r="DN85" s="63"/>
      <c r="DO85" s="63"/>
      <c r="DP85" s="63"/>
      <c r="DQ85" s="63"/>
      <c r="DR85" s="63"/>
      <c r="DS85" s="63"/>
      <c r="DT85" s="63"/>
      <c r="DU85" s="63"/>
      <c r="DV85" s="63"/>
      <c r="DW85" s="63"/>
      <c r="DX85" s="63"/>
      <c r="DY85" s="63"/>
      <c r="DZ85" s="63"/>
      <c r="EA85" s="63"/>
      <c r="EB85" s="63"/>
      <c r="EC85" s="63"/>
      <c r="ED85" s="63"/>
      <c r="EE85" s="63"/>
      <c r="EF85" s="63"/>
      <c r="EG85" s="63"/>
      <c r="EH85" s="63"/>
      <c r="EI85" s="63"/>
      <c r="EJ85" s="63"/>
      <c r="EK85" s="63"/>
      <c r="EL85" s="63"/>
      <c r="EM85" s="63"/>
      <c r="EN85" s="63"/>
      <c r="EO85" s="63"/>
      <c r="EP85" s="63"/>
      <c r="EQ85" s="63"/>
      <c r="ER85" s="63"/>
      <c r="ES85" s="63"/>
      <c r="ET85" s="63"/>
      <c r="EU85" s="63"/>
      <c r="EV85" s="63"/>
      <c r="EW85" s="63"/>
      <c r="EX85" s="63"/>
      <c r="EY85" s="63"/>
      <c r="EZ85" s="63"/>
      <c r="FA85" s="63"/>
      <c r="FB85" s="63"/>
      <c r="FC85" s="63"/>
      <c r="FD85" s="63"/>
      <c r="FE85" s="63"/>
      <c r="FF85" s="63"/>
      <c r="FG85" s="63"/>
      <c r="FH85" s="63"/>
      <c r="FI85" s="63"/>
      <c r="FJ85" s="63"/>
      <c r="FK85" s="63"/>
      <c r="FL85" s="63"/>
    </row>
    <row r="86" spans="1:168" x14ac:dyDescent="0.25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3"/>
      <c r="AX86" s="63"/>
      <c r="AY86" s="63"/>
      <c r="AZ86" s="63"/>
      <c r="BA86" s="63"/>
      <c r="BB86" s="63"/>
      <c r="BC86" s="63"/>
      <c r="BD86" s="63"/>
      <c r="BE86" s="63"/>
      <c r="BF86" s="63"/>
      <c r="BG86" s="63"/>
      <c r="BH86" s="63"/>
      <c r="BI86" s="63"/>
      <c r="BJ86" s="63"/>
      <c r="BK86" s="63"/>
      <c r="BL86" s="63"/>
      <c r="BM86" s="63"/>
      <c r="BN86" s="63"/>
      <c r="BO86" s="63"/>
      <c r="BP86" s="63"/>
      <c r="BQ86" s="63"/>
      <c r="BR86" s="63"/>
      <c r="BS86" s="63"/>
      <c r="BT86" s="63"/>
      <c r="BU86" s="63"/>
      <c r="BV86" s="63"/>
      <c r="BW86" s="63"/>
      <c r="BX86" s="63"/>
      <c r="BY86" s="63"/>
      <c r="BZ86" s="63"/>
      <c r="CA86" s="63"/>
      <c r="CB86" s="63"/>
      <c r="CC86" s="63"/>
      <c r="CD86" s="63"/>
      <c r="CE86" s="63"/>
      <c r="CF86" s="63"/>
      <c r="CG86" s="63"/>
      <c r="CH86" s="63"/>
      <c r="CI86" s="63"/>
      <c r="CJ86" s="63"/>
      <c r="CK86" s="63"/>
      <c r="CL86" s="63"/>
      <c r="CM86" s="63"/>
      <c r="CN86" s="63"/>
      <c r="CO86" s="63"/>
      <c r="CP86" s="63"/>
      <c r="CQ86" s="63"/>
      <c r="CR86" s="63"/>
      <c r="CS86" s="63"/>
      <c r="CT86" s="63"/>
      <c r="CU86" s="63"/>
      <c r="CV86" s="63"/>
      <c r="CW86" s="63"/>
      <c r="CX86" s="63"/>
      <c r="CY86" s="63"/>
      <c r="CZ86" s="63"/>
      <c r="DA86" s="63"/>
      <c r="DB86" s="63"/>
      <c r="DC86" s="63"/>
      <c r="DD86" s="63"/>
      <c r="DE86" s="63"/>
      <c r="DF86" s="63"/>
      <c r="DG86" s="63"/>
      <c r="DH86" s="63"/>
      <c r="DI86" s="63"/>
      <c r="DJ86" s="63"/>
      <c r="DK86" s="63"/>
      <c r="DL86" s="63"/>
      <c r="DM86" s="63"/>
      <c r="DN86" s="63"/>
      <c r="DO86" s="63"/>
      <c r="DP86" s="63"/>
      <c r="DQ86" s="63"/>
      <c r="DR86" s="63"/>
      <c r="DS86" s="63"/>
      <c r="DT86" s="63"/>
      <c r="DU86" s="63"/>
      <c r="DV86" s="63"/>
      <c r="DW86" s="63"/>
      <c r="DX86" s="63"/>
      <c r="DY86" s="63"/>
      <c r="DZ86" s="63"/>
      <c r="EA86" s="63"/>
      <c r="EB86" s="63"/>
      <c r="EC86" s="63"/>
      <c r="ED86" s="63"/>
      <c r="EE86" s="63"/>
      <c r="EF86" s="63"/>
      <c r="EG86" s="63"/>
      <c r="EH86" s="63"/>
      <c r="EI86" s="63"/>
      <c r="EJ86" s="63"/>
      <c r="EK86" s="63"/>
      <c r="EL86" s="63"/>
      <c r="EM86" s="63"/>
      <c r="EN86" s="63"/>
      <c r="EO86" s="63"/>
      <c r="EP86" s="63"/>
      <c r="EQ86" s="63"/>
      <c r="ER86" s="63"/>
      <c r="ES86" s="63"/>
      <c r="ET86" s="63"/>
      <c r="EU86" s="63"/>
      <c r="EV86" s="63"/>
      <c r="EW86" s="63"/>
      <c r="EX86" s="63"/>
      <c r="EY86" s="63"/>
      <c r="EZ86" s="63"/>
      <c r="FA86" s="63"/>
      <c r="FB86" s="63"/>
      <c r="FC86" s="63"/>
      <c r="FD86" s="63"/>
      <c r="FE86" s="63"/>
      <c r="FF86" s="63"/>
      <c r="FG86" s="63"/>
      <c r="FH86" s="63"/>
      <c r="FI86" s="63"/>
      <c r="FJ86" s="63"/>
      <c r="FK86" s="63"/>
      <c r="FL86" s="63"/>
    </row>
    <row r="87" spans="1:168" x14ac:dyDescent="0.25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3"/>
      <c r="AV87" s="63"/>
      <c r="AW87" s="63"/>
      <c r="AX87" s="63"/>
      <c r="AY87" s="63"/>
      <c r="AZ87" s="63"/>
      <c r="BA87" s="63"/>
      <c r="BB87" s="63"/>
      <c r="BC87" s="63"/>
      <c r="BD87" s="63"/>
      <c r="BE87" s="63"/>
      <c r="BF87" s="63"/>
      <c r="BG87" s="63"/>
      <c r="BH87" s="63"/>
      <c r="BI87" s="63"/>
      <c r="BJ87" s="63"/>
      <c r="BK87" s="63"/>
      <c r="BL87" s="63"/>
      <c r="BM87" s="63"/>
      <c r="BN87" s="63"/>
      <c r="BO87" s="63"/>
      <c r="BP87" s="63"/>
      <c r="BQ87" s="63"/>
      <c r="BR87" s="63"/>
      <c r="BS87" s="63"/>
      <c r="BT87" s="63"/>
      <c r="BU87" s="63"/>
      <c r="BV87" s="63"/>
      <c r="BW87" s="63"/>
      <c r="BX87" s="63"/>
      <c r="BY87" s="63"/>
      <c r="BZ87" s="63"/>
      <c r="CA87" s="63"/>
      <c r="CB87" s="63"/>
      <c r="CC87" s="63"/>
      <c r="CD87" s="63"/>
      <c r="CE87" s="63"/>
      <c r="CF87" s="63"/>
      <c r="CG87" s="63"/>
      <c r="CH87" s="63"/>
      <c r="CI87" s="63"/>
      <c r="CJ87" s="63"/>
      <c r="CK87" s="63"/>
      <c r="CL87" s="63"/>
      <c r="CM87" s="63"/>
      <c r="CN87" s="63"/>
      <c r="CO87" s="63"/>
      <c r="CP87" s="63"/>
      <c r="CQ87" s="63"/>
      <c r="CR87" s="63"/>
      <c r="CS87" s="63"/>
      <c r="CT87" s="63"/>
      <c r="CU87" s="63"/>
      <c r="CV87" s="63"/>
      <c r="CW87" s="63"/>
      <c r="CX87" s="63"/>
      <c r="CY87" s="63"/>
      <c r="CZ87" s="63"/>
      <c r="DA87" s="63"/>
      <c r="DB87" s="63"/>
      <c r="DC87" s="63"/>
      <c r="DD87" s="63"/>
      <c r="DE87" s="63"/>
      <c r="DF87" s="63"/>
      <c r="DG87" s="63"/>
      <c r="DH87" s="63"/>
      <c r="DI87" s="63"/>
      <c r="DJ87" s="63"/>
      <c r="DK87" s="63"/>
      <c r="DL87" s="63"/>
      <c r="DM87" s="63"/>
      <c r="DN87" s="63"/>
      <c r="DO87" s="63"/>
      <c r="DP87" s="63"/>
      <c r="DQ87" s="63"/>
      <c r="DR87" s="63"/>
      <c r="DS87" s="63"/>
      <c r="DT87" s="63"/>
      <c r="DU87" s="63"/>
      <c r="DV87" s="63"/>
      <c r="DW87" s="63"/>
      <c r="DX87" s="63"/>
      <c r="DY87" s="63"/>
      <c r="DZ87" s="63"/>
      <c r="EA87" s="63"/>
      <c r="EB87" s="63"/>
      <c r="EC87" s="63"/>
      <c r="ED87" s="63"/>
      <c r="EE87" s="63"/>
      <c r="EF87" s="63"/>
      <c r="EG87" s="63"/>
      <c r="EH87" s="63"/>
      <c r="EI87" s="63"/>
      <c r="EJ87" s="63"/>
      <c r="EK87" s="63"/>
      <c r="EL87" s="63"/>
      <c r="EM87" s="63"/>
      <c r="EN87" s="63"/>
      <c r="EO87" s="63"/>
      <c r="EP87" s="63"/>
      <c r="EQ87" s="63"/>
      <c r="ER87" s="63"/>
      <c r="ES87" s="63"/>
      <c r="ET87" s="63"/>
      <c r="EU87" s="63"/>
      <c r="EV87" s="63"/>
      <c r="EW87" s="63"/>
      <c r="EX87" s="63"/>
      <c r="EY87" s="63"/>
      <c r="EZ87" s="63"/>
      <c r="FA87" s="63"/>
      <c r="FB87" s="63"/>
      <c r="FC87" s="63"/>
      <c r="FD87" s="63"/>
      <c r="FE87" s="63"/>
      <c r="FF87" s="63"/>
      <c r="FG87" s="63"/>
      <c r="FH87" s="63"/>
      <c r="FI87" s="63"/>
      <c r="FJ87" s="63"/>
      <c r="FK87" s="63"/>
      <c r="FL87" s="63"/>
    </row>
  </sheetData>
  <mergeCells count="11">
    <mergeCell ref="B51:D52"/>
    <mergeCell ref="D48:E48"/>
    <mergeCell ref="A1:AC1"/>
    <mergeCell ref="B3:E5"/>
    <mergeCell ref="B28:H31"/>
    <mergeCell ref="B33:D34"/>
    <mergeCell ref="D39:E39"/>
    <mergeCell ref="D38:E38"/>
    <mergeCell ref="D43:E43"/>
    <mergeCell ref="D44:E44"/>
    <mergeCell ref="D49:E49"/>
  </mergeCells>
  <conditionalFormatting sqref="F38:F59 F61:F62">
    <cfRule type="cellIs" dxfId="1" priority="1" operator="lessThanOrEqual">
      <formula>1</formula>
    </cfRule>
    <cfRule type="cellIs" dxfId="0" priority="2" operator="greaterThan">
      <formula>1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970B-EBA2-455D-AF6F-1E8D45594A7D}">
  <sheetPr>
    <tabColor theme="6"/>
  </sheetPr>
  <dimension ref="A1:AC932"/>
  <sheetViews>
    <sheetView zoomScale="59" workbookViewId="0">
      <selection activeCell="Q16" sqref="Q16"/>
    </sheetView>
  </sheetViews>
  <sheetFormatPr defaultColWidth="8.7109375" defaultRowHeight="15" x14ac:dyDescent="0.25"/>
  <cols>
    <col min="1" max="1" width="8.7109375" style="115"/>
    <col min="2" max="2" width="9.85546875" style="115" customWidth="1"/>
    <col min="3" max="3" width="10.140625" style="115" bestFit="1" customWidth="1"/>
    <col min="4" max="4" width="9.5703125" style="115" bestFit="1" customWidth="1"/>
    <col min="5" max="5" width="12.5703125" style="115" bestFit="1" customWidth="1"/>
    <col min="6" max="6" width="11.140625" style="115" bestFit="1" customWidth="1"/>
    <col min="7" max="7" width="10.140625" style="115" bestFit="1" customWidth="1"/>
    <col min="8" max="8" width="9.5703125" style="115" bestFit="1" customWidth="1"/>
    <col min="9" max="9" width="10.140625" style="115" bestFit="1" customWidth="1"/>
    <col min="10" max="10" width="9.5703125" style="115" bestFit="1" customWidth="1"/>
    <col min="11" max="11" width="10.140625" style="115" bestFit="1" customWidth="1"/>
    <col min="12" max="12" width="11.140625" style="115" bestFit="1" customWidth="1"/>
    <col min="13" max="13" width="10.140625" style="115" bestFit="1" customWidth="1"/>
    <col min="14" max="14" width="9.5703125" style="115" bestFit="1" customWidth="1"/>
    <col min="15" max="15" width="10.140625" style="115" bestFit="1" customWidth="1"/>
    <col min="16" max="16384" width="8.7109375" style="115"/>
  </cols>
  <sheetData>
    <row r="1" spans="1:29" s="87" customFormat="1" ht="63.75" x14ac:dyDescent="1">
      <c r="A1" s="157" t="s">
        <v>0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</row>
    <row r="7" spans="1:29" ht="38.1" customHeight="1" x14ac:dyDescent="0.25">
      <c r="C7" s="155" t="s">
        <v>15</v>
      </c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</row>
    <row r="8" spans="1:29" ht="28.5" customHeight="1" x14ac:dyDescent="0.25"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</row>
    <row r="9" spans="1:29" ht="28.5" customHeight="1" x14ac:dyDescent="0.25">
      <c r="C9" s="155"/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</row>
    <row r="10" spans="1:29" ht="28.5" customHeight="1" x14ac:dyDescent="0.25"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</row>
    <row r="12" spans="1:29" ht="21" customHeight="1" x14ac:dyDescent="0.25">
      <c r="C12" s="133" t="s">
        <v>16</v>
      </c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</row>
    <row r="13" spans="1:29" ht="28.5" customHeight="1" x14ac:dyDescent="0.25"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</row>
    <row r="15" spans="1:29" ht="21" x14ac:dyDescent="0.35">
      <c r="D15" s="159" t="s">
        <v>17</v>
      </c>
      <c r="E15" s="159"/>
      <c r="F15" s="116"/>
      <c r="G15" s="116"/>
      <c r="H15" s="159" t="s">
        <v>18</v>
      </c>
      <c r="I15" s="159"/>
      <c r="J15" s="116"/>
      <c r="K15" s="116"/>
      <c r="L15" s="159" t="s">
        <v>19</v>
      </c>
      <c r="M15" s="159"/>
    </row>
    <row r="16" spans="1:29" ht="21" x14ac:dyDescent="0.35">
      <c r="D16" s="159"/>
      <c r="E16" s="159"/>
      <c r="F16" s="116"/>
      <c r="G16" s="116"/>
      <c r="H16" s="159"/>
      <c r="I16" s="159"/>
      <c r="J16" s="116"/>
      <c r="K16" s="116"/>
      <c r="L16" s="159"/>
      <c r="M16" s="159"/>
    </row>
    <row r="17" spans="3:15" ht="15.95" customHeight="1" x14ac:dyDescent="0.25">
      <c r="D17" s="156">
        <v>0</v>
      </c>
      <c r="E17" s="156"/>
      <c r="F17" s="117"/>
      <c r="G17" s="117"/>
      <c r="H17" s="156">
        <v>0</v>
      </c>
      <c r="I17" s="156"/>
      <c r="J17" s="117"/>
      <c r="K17" s="117"/>
      <c r="L17" s="156">
        <v>0</v>
      </c>
      <c r="M17" s="156"/>
    </row>
    <row r="18" spans="3:15" ht="15.95" customHeight="1" x14ac:dyDescent="0.25">
      <c r="D18" s="156"/>
      <c r="E18" s="156"/>
      <c r="F18" s="117"/>
      <c r="G18" s="117"/>
      <c r="H18" s="156"/>
      <c r="I18" s="156"/>
      <c r="J18" s="117"/>
      <c r="K18" s="117"/>
      <c r="L18" s="156"/>
      <c r="M18" s="156"/>
    </row>
    <row r="19" spans="3:15" ht="18.95" customHeight="1" x14ac:dyDescent="0.25">
      <c r="D19" s="156"/>
      <c r="E19" s="156"/>
      <c r="F19" s="117"/>
      <c r="G19" s="117"/>
      <c r="H19" s="156"/>
      <c r="I19" s="156"/>
      <c r="J19" s="117"/>
      <c r="K19" s="117"/>
      <c r="L19" s="156"/>
      <c r="M19" s="156"/>
    </row>
    <row r="21" spans="3:15" ht="26.25" x14ac:dyDescent="0.25">
      <c r="C21" s="164" t="s">
        <v>20</v>
      </c>
      <c r="D21" s="164"/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4"/>
    </row>
    <row r="22" spans="3:15" ht="41.1" customHeight="1" x14ac:dyDescent="0.25">
      <c r="C22" s="136" t="s">
        <v>6</v>
      </c>
      <c r="D22" s="137"/>
      <c r="E22" s="137"/>
      <c r="F22" s="160">
        <f>'Total reduction visuals'!N8</f>
        <v>1</v>
      </c>
      <c r="G22" s="160"/>
      <c r="H22" s="161"/>
      <c r="I22" s="136" t="s">
        <v>7</v>
      </c>
      <c r="J22" s="137"/>
      <c r="K22" s="137"/>
      <c r="L22" s="160">
        <f>'Total reduction visuals'!N9</f>
        <v>1</v>
      </c>
      <c r="M22" s="160"/>
      <c r="N22" s="160"/>
      <c r="O22" s="161"/>
    </row>
    <row r="23" spans="3:15" ht="23.45" customHeight="1" x14ac:dyDescent="0.25">
      <c r="C23" s="140"/>
      <c r="D23" s="141"/>
      <c r="E23" s="141"/>
      <c r="F23" s="162"/>
      <c r="G23" s="162"/>
      <c r="H23" s="163"/>
      <c r="I23" s="140"/>
      <c r="J23" s="141"/>
      <c r="K23" s="141"/>
      <c r="L23" s="162"/>
      <c r="M23" s="162"/>
      <c r="N23" s="162"/>
      <c r="O23" s="163"/>
    </row>
    <row r="26" spans="3:15" ht="21" customHeight="1" x14ac:dyDescent="0.25">
      <c r="C26" s="155" t="s">
        <v>21</v>
      </c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</row>
    <row r="27" spans="3:15" ht="28.5" customHeight="1" x14ac:dyDescent="0.25"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</row>
    <row r="28" spans="3:15" ht="28.5" customHeight="1" x14ac:dyDescent="0.25"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</row>
    <row r="29" spans="3:15" ht="28.5" customHeight="1" x14ac:dyDescent="0.25"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</row>
    <row r="30" spans="3:15" ht="28.5" customHeight="1" x14ac:dyDescent="0.25"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</row>
    <row r="31" spans="3:15" ht="28.5" customHeight="1" x14ac:dyDescent="0.25"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</row>
    <row r="33" spans="3:15" ht="18.600000000000001" customHeight="1" x14ac:dyDescent="0.25">
      <c r="C33" s="133" t="s">
        <v>22</v>
      </c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</row>
    <row r="34" spans="3:15" ht="28.5" customHeight="1" x14ac:dyDescent="0.25"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</row>
    <row r="36" spans="3:15" ht="21" customHeight="1" x14ac:dyDescent="0.25">
      <c r="E36" s="159" t="s">
        <v>23</v>
      </c>
      <c r="F36" s="159"/>
      <c r="G36" s="159"/>
      <c r="H36" s="159"/>
      <c r="I36" s="159"/>
      <c r="J36" s="159"/>
      <c r="K36" s="159"/>
      <c r="L36" s="159"/>
    </row>
    <row r="37" spans="3:15" ht="14.45" customHeight="1" x14ac:dyDescent="0.25">
      <c r="E37" s="159"/>
      <c r="F37" s="159"/>
      <c r="G37" s="159"/>
      <c r="H37" s="159"/>
      <c r="I37" s="159"/>
      <c r="J37" s="159"/>
      <c r="K37" s="159"/>
      <c r="L37" s="159"/>
    </row>
    <row r="38" spans="3:15" ht="14.45" customHeight="1" x14ac:dyDescent="0.25">
      <c r="E38" s="156">
        <v>0</v>
      </c>
      <c r="F38" s="156"/>
      <c r="G38" s="156"/>
      <c r="H38" s="156"/>
      <c r="I38" s="156"/>
      <c r="J38" s="156"/>
      <c r="K38" s="156"/>
      <c r="L38" s="156"/>
    </row>
    <row r="39" spans="3:15" ht="14.45" customHeight="1" x14ac:dyDescent="0.25">
      <c r="E39" s="156"/>
      <c r="F39" s="156"/>
      <c r="G39" s="156"/>
      <c r="H39" s="156"/>
      <c r="I39" s="156"/>
      <c r="J39" s="156"/>
      <c r="K39" s="156"/>
      <c r="L39" s="156"/>
    </row>
    <row r="40" spans="3:15" ht="14.45" customHeight="1" x14ac:dyDescent="0.25">
      <c r="E40" s="156"/>
      <c r="F40" s="156"/>
      <c r="G40" s="156"/>
      <c r="H40" s="156"/>
      <c r="I40" s="156"/>
      <c r="J40" s="156"/>
      <c r="K40" s="156"/>
      <c r="L40" s="156"/>
    </row>
    <row r="42" spans="3:15" ht="14.45" customHeight="1" x14ac:dyDescent="0.25">
      <c r="C42" s="165" t="s">
        <v>20</v>
      </c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165"/>
    </row>
    <row r="43" spans="3:15" ht="14.45" customHeight="1" x14ac:dyDescent="0.25">
      <c r="C43" s="136" t="s">
        <v>6</v>
      </c>
      <c r="D43" s="137"/>
      <c r="E43" s="137"/>
      <c r="F43" s="142">
        <f>'Total reduction visuals'!N13</f>
        <v>1</v>
      </c>
      <c r="G43" s="142"/>
      <c r="H43" s="143"/>
      <c r="I43" s="136" t="s">
        <v>7</v>
      </c>
      <c r="J43" s="137"/>
      <c r="K43" s="137"/>
      <c r="L43" s="148">
        <f>'Total reduction visuals'!N14</f>
        <v>1</v>
      </c>
      <c r="M43" s="148"/>
      <c r="N43" s="148"/>
      <c r="O43" s="149"/>
    </row>
    <row r="44" spans="3:15" ht="23.45" customHeight="1" x14ac:dyDescent="0.25">
      <c r="C44" s="138"/>
      <c r="D44" s="139"/>
      <c r="E44" s="139"/>
      <c r="F44" s="144"/>
      <c r="G44" s="144"/>
      <c r="H44" s="145"/>
      <c r="I44" s="138"/>
      <c r="J44" s="139"/>
      <c r="K44" s="139"/>
      <c r="L44" s="150"/>
      <c r="M44" s="150"/>
      <c r="N44" s="150"/>
      <c r="O44" s="151"/>
    </row>
    <row r="45" spans="3:15" ht="23.45" customHeight="1" x14ac:dyDescent="0.25">
      <c r="C45" s="140"/>
      <c r="D45" s="141"/>
      <c r="E45" s="141"/>
      <c r="F45" s="146"/>
      <c r="G45" s="146"/>
      <c r="H45" s="147"/>
      <c r="I45" s="140"/>
      <c r="J45" s="141"/>
      <c r="K45" s="141"/>
      <c r="L45" s="152"/>
      <c r="M45" s="152"/>
      <c r="N45" s="152"/>
      <c r="O45" s="153"/>
    </row>
    <row r="47" spans="3:15" ht="14.45" customHeight="1" x14ac:dyDescent="0.25"/>
    <row r="48" spans="3:15" ht="14.45" customHeight="1" x14ac:dyDescent="0.25">
      <c r="C48" s="155" t="s">
        <v>24</v>
      </c>
      <c r="D48" s="155"/>
      <c r="E48" s="155"/>
      <c r="F48" s="155"/>
      <c r="G48" s="155"/>
      <c r="H48" s="155"/>
      <c r="I48" s="155"/>
      <c r="J48" s="155"/>
      <c r="K48" s="155"/>
      <c r="L48" s="155"/>
      <c r="M48" s="155"/>
      <c r="N48" s="155"/>
      <c r="O48" s="155"/>
    </row>
    <row r="49" spans="3:15" ht="14.45" customHeight="1" x14ac:dyDescent="0.25">
      <c r="C49" s="155"/>
      <c r="D49" s="155"/>
      <c r="E49" s="155"/>
      <c r="F49" s="155"/>
      <c r="G49" s="155"/>
      <c r="H49" s="155"/>
      <c r="I49" s="155"/>
      <c r="J49" s="155"/>
      <c r="K49" s="155"/>
      <c r="L49" s="155"/>
      <c r="M49" s="155"/>
      <c r="N49" s="155"/>
      <c r="O49" s="155"/>
    </row>
    <row r="50" spans="3:15" ht="28.5" customHeight="1" x14ac:dyDescent="0.25">
      <c r="C50" s="155"/>
      <c r="D50" s="155"/>
      <c r="E50" s="155"/>
      <c r="F50" s="155"/>
      <c r="G50" s="155"/>
      <c r="H50" s="155"/>
      <c r="I50" s="155"/>
      <c r="J50" s="155"/>
      <c r="K50" s="155"/>
      <c r="L50" s="155"/>
      <c r="M50" s="155"/>
      <c r="N50" s="155"/>
      <c r="O50" s="155"/>
    </row>
    <row r="51" spans="3:15" ht="28.5" customHeight="1" x14ac:dyDescent="0.25">
      <c r="C51" s="155"/>
      <c r="D51" s="155"/>
      <c r="E51" s="155"/>
      <c r="F51" s="155"/>
      <c r="G51" s="155"/>
      <c r="H51" s="155"/>
      <c r="I51" s="155"/>
      <c r="J51" s="155"/>
      <c r="K51" s="155"/>
      <c r="L51" s="155"/>
      <c r="M51" s="155"/>
      <c r="N51" s="155"/>
      <c r="O51" s="155"/>
    </row>
    <row r="52" spans="3:15" ht="23.45" customHeight="1" x14ac:dyDescent="0.25"/>
    <row r="53" spans="3:15" ht="23.45" customHeight="1" x14ac:dyDescent="0.25">
      <c r="C53" s="133" t="s">
        <v>25</v>
      </c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</row>
    <row r="54" spans="3:15" ht="11.1" customHeight="1" x14ac:dyDescent="0.25"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</row>
    <row r="56" spans="3:15" ht="14.45" customHeight="1" x14ac:dyDescent="0.25">
      <c r="C56" s="118" t="s">
        <v>26</v>
      </c>
      <c r="E56" s="118" t="s">
        <v>27</v>
      </c>
      <c r="G56" s="118" t="s">
        <v>28</v>
      </c>
      <c r="I56" s="118" t="s">
        <v>29</v>
      </c>
      <c r="K56" s="118" t="s">
        <v>30</v>
      </c>
      <c r="M56" s="118" t="s">
        <v>31</v>
      </c>
      <c r="O56" s="118" t="s">
        <v>32</v>
      </c>
    </row>
    <row r="57" spans="3:15" ht="14.45" customHeight="1" x14ac:dyDescent="0.25">
      <c r="C57" s="158">
        <v>0</v>
      </c>
      <c r="E57" s="158">
        <v>0</v>
      </c>
      <c r="F57" s="117"/>
      <c r="G57" s="158">
        <v>0</v>
      </c>
      <c r="H57" s="117"/>
      <c r="I57" s="158">
        <v>0</v>
      </c>
      <c r="J57" s="117"/>
      <c r="K57" s="158">
        <v>0</v>
      </c>
      <c r="L57" s="117"/>
      <c r="M57" s="158">
        <v>0</v>
      </c>
      <c r="N57" s="117"/>
      <c r="O57" s="158">
        <v>0</v>
      </c>
    </row>
    <row r="58" spans="3:15" ht="14.45" customHeight="1" x14ac:dyDescent="0.25">
      <c r="C58" s="158"/>
      <c r="E58" s="158"/>
      <c r="F58" s="117"/>
      <c r="G58" s="158"/>
      <c r="H58" s="117"/>
      <c r="I58" s="158"/>
      <c r="J58" s="117"/>
      <c r="K58" s="158"/>
      <c r="L58" s="117"/>
      <c r="M58" s="158"/>
      <c r="N58" s="117"/>
      <c r="O58" s="158"/>
    </row>
    <row r="59" spans="3:15" ht="14.45" customHeight="1" x14ac:dyDescent="0.25">
      <c r="C59" s="158"/>
      <c r="E59" s="158"/>
      <c r="F59" s="117"/>
      <c r="G59" s="158"/>
      <c r="H59" s="117"/>
      <c r="I59" s="158"/>
      <c r="J59" s="117"/>
      <c r="K59" s="158"/>
      <c r="L59" s="117"/>
      <c r="M59" s="158"/>
      <c r="N59" s="117"/>
      <c r="O59" s="158"/>
    </row>
    <row r="60" spans="3:15" ht="14.45" customHeight="1" x14ac:dyDescent="0.25"/>
    <row r="61" spans="3:15" ht="14.45" customHeight="1" x14ac:dyDescent="0.25">
      <c r="C61" s="165" t="s">
        <v>20</v>
      </c>
      <c r="D61" s="165"/>
      <c r="E61" s="165"/>
      <c r="F61" s="165"/>
      <c r="G61" s="165"/>
      <c r="H61" s="165"/>
      <c r="I61" s="165"/>
      <c r="J61" s="165"/>
      <c r="K61" s="165"/>
      <c r="L61" s="165"/>
      <c r="M61" s="165"/>
      <c r="N61" s="165"/>
      <c r="O61" s="165"/>
    </row>
    <row r="62" spans="3:15" ht="14.45" customHeight="1" x14ac:dyDescent="0.25">
      <c r="C62" s="136" t="s">
        <v>6</v>
      </c>
      <c r="D62" s="137"/>
      <c r="E62" s="137"/>
      <c r="F62" s="142">
        <f>'Total reduction visuals'!N18</f>
        <v>1</v>
      </c>
      <c r="G62" s="142"/>
      <c r="H62" s="143"/>
      <c r="I62" s="136" t="s">
        <v>7</v>
      </c>
      <c r="J62" s="137"/>
      <c r="K62" s="137"/>
      <c r="L62" s="148">
        <f>'Total reduction visuals'!N19</f>
        <v>1</v>
      </c>
      <c r="M62" s="148"/>
      <c r="N62" s="148"/>
      <c r="O62" s="149"/>
    </row>
    <row r="63" spans="3:15" ht="14.45" customHeight="1" x14ac:dyDescent="0.25">
      <c r="C63" s="138"/>
      <c r="D63" s="139"/>
      <c r="E63" s="139"/>
      <c r="F63" s="144"/>
      <c r="G63" s="144"/>
      <c r="H63" s="145"/>
      <c r="I63" s="138"/>
      <c r="J63" s="139"/>
      <c r="K63" s="139"/>
      <c r="L63" s="150"/>
      <c r="M63" s="150"/>
      <c r="N63" s="150"/>
      <c r="O63" s="151"/>
    </row>
    <row r="64" spans="3:15" ht="14.45" customHeight="1" x14ac:dyDescent="0.25">
      <c r="C64" s="140"/>
      <c r="D64" s="141"/>
      <c r="E64" s="141"/>
      <c r="F64" s="146"/>
      <c r="G64" s="146"/>
      <c r="H64" s="147"/>
      <c r="I64" s="140"/>
      <c r="J64" s="141"/>
      <c r="K64" s="141"/>
      <c r="L64" s="152"/>
      <c r="M64" s="152"/>
      <c r="N64" s="152"/>
      <c r="O64" s="153"/>
    </row>
    <row r="66" spans="3:15" ht="14.45" customHeight="1" x14ac:dyDescent="0.25"/>
    <row r="67" spans="3:15" ht="14.45" customHeight="1" x14ac:dyDescent="0.25">
      <c r="C67" s="155" t="s">
        <v>33</v>
      </c>
      <c r="D67" s="155"/>
      <c r="E67" s="155"/>
      <c r="F67" s="155"/>
      <c r="G67" s="155"/>
      <c r="H67" s="155"/>
      <c r="I67" s="155"/>
      <c r="J67" s="155"/>
      <c r="K67" s="155"/>
      <c r="L67" s="155"/>
      <c r="M67" s="155"/>
      <c r="N67" s="155"/>
      <c r="O67" s="155"/>
    </row>
    <row r="68" spans="3:15" ht="14.45" customHeight="1" x14ac:dyDescent="0.25">
      <c r="C68" s="155"/>
      <c r="D68" s="155"/>
      <c r="E68" s="155"/>
      <c r="F68" s="155"/>
      <c r="G68" s="155"/>
      <c r="H68" s="155"/>
      <c r="I68" s="155"/>
      <c r="J68" s="155"/>
      <c r="K68" s="155"/>
      <c r="L68" s="155"/>
      <c r="M68" s="155"/>
      <c r="N68" s="155"/>
      <c r="O68" s="155"/>
    </row>
    <row r="69" spans="3:15" ht="14.45" customHeight="1" x14ac:dyDescent="0.25">
      <c r="C69" s="155"/>
      <c r="D69" s="155"/>
      <c r="E69" s="155"/>
      <c r="F69" s="155"/>
      <c r="G69" s="155"/>
      <c r="H69" s="155"/>
      <c r="I69" s="155"/>
      <c r="J69" s="155"/>
      <c r="K69" s="155"/>
      <c r="L69" s="155"/>
      <c r="M69" s="155"/>
      <c r="N69" s="155"/>
      <c r="O69" s="155"/>
    </row>
    <row r="70" spans="3:15" ht="14.45" customHeight="1" x14ac:dyDescent="0.25">
      <c r="C70" s="155"/>
      <c r="D70" s="155"/>
      <c r="E70" s="155"/>
      <c r="F70" s="155"/>
      <c r="G70" s="155"/>
      <c r="H70" s="155"/>
      <c r="I70" s="155"/>
      <c r="J70" s="155"/>
      <c r="K70" s="155"/>
      <c r="L70" s="155"/>
      <c r="M70" s="155"/>
      <c r="N70" s="155"/>
      <c r="O70" s="155"/>
    </row>
    <row r="72" spans="3:15" ht="29.1" customHeight="1" x14ac:dyDescent="0.25">
      <c r="C72" s="134" t="s">
        <v>25</v>
      </c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</row>
    <row r="73" spans="3:15" ht="14.45" customHeight="1" x14ac:dyDescent="0.25">
      <c r="C73" s="134"/>
      <c r="D73" s="134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</row>
    <row r="74" spans="3:15" ht="14.45" customHeight="1" x14ac:dyDescent="0.25"/>
    <row r="75" spans="3:15" ht="14.45" customHeight="1" x14ac:dyDescent="0.25">
      <c r="E75" s="135" t="s">
        <v>34</v>
      </c>
      <c r="F75" s="135"/>
      <c r="G75" s="135"/>
      <c r="H75" s="135"/>
      <c r="I75" s="135"/>
      <c r="J75" s="135"/>
      <c r="K75" s="135"/>
      <c r="L75" s="135"/>
    </row>
    <row r="76" spans="3:15" ht="21" customHeight="1" x14ac:dyDescent="0.25">
      <c r="E76" s="135"/>
      <c r="F76" s="135"/>
      <c r="G76" s="135"/>
      <c r="H76" s="135"/>
      <c r="I76" s="135"/>
      <c r="J76" s="135"/>
      <c r="K76" s="135"/>
      <c r="L76" s="135"/>
    </row>
    <row r="77" spans="3:15" ht="11.45" customHeight="1" x14ac:dyDescent="0.25">
      <c r="E77" s="156">
        <v>0</v>
      </c>
      <c r="F77" s="156"/>
      <c r="G77" s="156"/>
      <c r="H77" s="156"/>
      <c r="I77" s="156"/>
      <c r="J77" s="156"/>
      <c r="K77" s="156"/>
      <c r="L77" s="156"/>
    </row>
    <row r="78" spans="3:15" ht="14.45" customHeight="1" x14ac:dyDescent="0.25">
      <c r="E78" s="156"/>
      <c r="F78" s="156"/>
      <c r="G78" s="156"/>
      <c r="H78" s="156"/>
      <c r="I78" s="156"/>
      <c r="J78" s="156"/>
      <c r="K78" s="156"/>
      <c r="L78" s="156"/>
    </row>
    <row r="79" spans="3:15" ht="14.45" customHeight="1" x14ac:dyDescent="0.25">
      <c r="E79" s="156"/>
      <c r="F79" s="156"/>
      <c r="G79" s="156"/>
      <c r="H79" s="156"/>
      <c r="I79" s="156"/>
      <c r="J79" s="156"/>
      <c r="K79" s="156"/>
      <c r="L79" s="156"/>
    </row>
    <row r="80" spans="3:15" ht="14.45" customHeight="1" x14ac:dyDescent="0.25"/>
    <row r="81" spans="3:15" ht="14.45" customHeight="1" x14ac:dyDescent="0.25">
      <c r="C81" s="154" t="s">
        <v>20</v>
      </c>
      <c r="D81" s="154"/>
      <c r="E81" s="154"/>
      <c r="F81" s="154"/>
      <c r="G81" s="154"/>
      <c r="H81" s="154"/>
      <c r="I81" s="154"/>
      <c r="J81" s="154"/>
      <c r="K81" s="154"/>
      <c r="L81" s="154"/>
      <c r="M81" s="154"/>
      <c r="N81" s="154"/>
      <c r="O81" s="154"/>
    </row>
    <row r="82" spans="3:15" x14ac:dyDescent="0.25">
      <c r="C82" s="136" t="s">
        <v>6</v>
      </c>
      <c r="D82" s="137"/>
      <c r="E82" s="137"/>
      <c r="F82" s="142">
        <f>'Total reduction visuals'!N25</f>
        <v>1</v>
      </c>
      <c r="G82" s="142"/>
      <c r="H82" s="143"/>
      <c r="I82" s="136" t="s">
        <v>7</v>
      </c>
      <c r="J82" s="137"/>
      <c r="K82" s="137"/>
      <c r="L82" s="148">
        <f>'Total reduction visuals'!N26</f>
        <v>1</v>
      </c>
      <c r="M82" s="148"/>
      <c r="N82" s="148"/>
      <c r="O82" s="149"/>
    </row>
    <row r="83" spans="3:15" ht="14.45" customHeight="1" x14ac:dyDescent="0.25">
      <c r="C83" s="138"/>
      <c r="D83" s="139"/>
      <c r="E83" s="139"/>
      <c r="F83" s="144"/>
      <c r="G83" s="144"/>
      <c r="H83" s="145"/>
      <c r="I83" s="138"/>
      <c r="J83" s="139"/>
      <c r="K83" s="139"/>
      <c r="L83" s="150"/>
      <c r="M83" s="150"/>
      <c r="N83" s="150"/>
      <c r="O83" s="151"/>
    </row>
    <row r="84" spans="3:15" ht="14.45" customHeight="1" x14ac:dyDescent="0.25">
      <c r="C84" s="140"/>
      <c r="D84" s="141"/>
      <c r="E84" s="141"/>
      <c r="F84" s="146"/>
      <c r="G84" s="146"/>
      <c r="H84" s="147"/>
      <c r="I84" s="140"/>
      <c r="J84" s="141"/>
      <c r="K84" s="141"/>
      <c r="L84" s="152"/>
      <c r="M84" s="152"/>
      <c r="N84" s="152"/>
      <c r="O84" s="153"/>
    </row>
    <row r="87" spans="3:15" ht="14.45" customHeight="1" x14ac:dyDescent="0.25">
      <c r="C87" s="155" t="s">
        <v>35</v>
      </c>
      <c r="D87" s="155"/>
      <c r="E87" s="155"/>
      <c r="F87" s="155"/>
      <c r="G87" s="155"/>
      <c r="H87" s="155"/>
      <c r="I87" s="155"/>
      <c r="J87" s="155"/>
      <c r="K87" s="155"/>
      <c r="L87" s="155"/>
      <c r="M87" s="155"/>
      <c r="N87" s="155"/>
      <c r="O87" s="155"/>
    </row>
    <row r="88" spans="3:15" ht="14.45" customHeight="1" x14ac:dyDescent="0.25">
      <c r="C88" s="155"/>
      <c r="D88" s="155"/>
      <c r="E88" s="155"/>
      <c r="F88" s="155"/>
      <c r="G88" s="155"/>
      <c r="H88" s="155"/>
      <c r="I88" s="155"/>
      <c r="J88" s="155"/>
      <c r="K88" s="155"/>
      <c r="L88" s="155"/>
      <c r="M88" s="155"/>
      <c r="N88" s="155"/>
      <c r="O88" s="155"/>
    </row>
    <row r="89" spans="3:15" ht="14.45" customHeight="1" x14ac:dyDescent="0.25">
      <c r="C89" s="155"/>
      <c r="D89" s="155"/>
      <c r="E89" s="155"/>
      <c r="F89" s="155"/>
      <c r="G89" s="155"/>
      <c r="H89" s="155"/>
      <c r="I89" s="155"/>
      <c r="J89" s="155"/>
      <c r="K89" s="155"/>
      <c r="L89" s="155"/>
      <c r="M89" s="155"/>
      <c r="N89" s="155"/>
      <c r="O89" s="155"/>
    </row>
    <row r="90" spans="3:15" x14ac:dyDescent="0.25">
      <c r="C90" s="155"/>
      <c r="D90" s="155"/>
      <c r="E90" s="155"/>
      <c r="F90" s="155"/>
      <c r="G90" s="155"/>
      <c r="H90" s="155"/>
      <c r="I90" s="155"/>
      <c r="J90" s="155"/>
      <c r="K90" s="155"/>
      <c r="L90" s="155"/>
      <c r="M90" s="155"/>
      <c r="N90" s="155"/>
      <c r="O90" s="155"/>
    </row>
    <row r="92" spans="3:15" ht="14.45" customHeight="1" x14ac:dyDescent="0.25">
      <c r="C92" s="134" t="s">
        <v>36</v>
      </c>
      <c r="D92" s="134"/>
      <c r="E92" s="134"/>
      <c r="F92" s="134"/>
      <c r="G92" s="134"/>
      <c r="H92" s="134"/>
      <c r="I92" s="134"/>
      <c r="J92" s="134"/>
      <c r="K92" s="134"/>
      <c r="L92" s="134"/>
      <c r="M92" s="134"/>
      <c r="N92" s="134"/>
      <c r="O92" s="134"/>
    </row>
    <row r="93" spans="3:15" ht="14.45" customHeight="1" x14ac:dyDescent="0.25">
      <c r="C93" s="134"/>
      <c r="D93" s="134"/>
      <c r="E93" s="134"/>
      <c r="F93" s="134"/>
      <c r="G93" s="134"/>
      <c r="H93" s="134"/>
      <c r="I93" s="134"/>
      <c r="J93" s="134"/>
      <c r="K93" s="134"/>
      <c r="L93" s="134"/>
      <c r="M93" s="134"/>
      <c r="N93" s="134"/>
      <c r="O93" s="134"/>
    </row>
    <row r="94" spans="3:15" ht="14.45" customHeight="1" x14ac:dyDescent="0.25"/>
    <row r="96" spans="3:15" x14ac:dyDescent="0.25">
      <c r="E96" s="135" t="s">
        <v>37</v>
      </c>
      <c r="F96" s="135"/>
      <c r="G96" s="135"/>
      <c r="H96" s="135"/>
      <c r="I96" s="135"/>
      <c r="J96" s="135"/>
      <c r="K96" s="135"/>
      <c r="L96" s="135"/>
    </row>
    <row r="97" spans="3:15" ht="14.45" customHeight="1" x14ac:dyDescent="0.25">
      <c r="E97" s="135"/>
      <c r="F97" s="135"/>
      <c r="G97" s="135"/>
      <c r="H97" s="135"/>
      <c r="I97" s="135"/>
      <c r="J97" s="135"/>
      <c r="K97" s="135"/>
      <c r="L97" s="135"/>
    </row>
    <row r="98" spans="3:15" ht="14.45" customHeight="1" x14ac:dyDescent="0.25">
      <c r="E98" s="156">
        <v>0</v>
      </c>
      <c r="F98" s="156"/>
      <c r="G98" s="156"/>
      <c r="H98" s="156"/>
      <c r="I98" s="156"/>
      <c r="J98" s="156"/>
      <c r="K98" s="156"/>
      <c r="L98" s="156"/>
    </row>
    <row r="99" spans="3:15" ht="14.45" customHeight="1" x14ac:dyDescent="0.25">
      <c r="E99" s="156"/>
      <c r="F99" s="156"/>
      <c r="G99" s="156"/>
      <c r="H99" s="156"/>
      <c r="I99" s="156"/>
      <c r="J99" s="156"/>
      <c r="K99" s="156"/>
      <c r="L99" s="156"/>
    </row>
    <row r="100" spans="3:15" ht="14.45" customHeight="1" x14ac:dyDescent="0.25">
      <c r="E100" s="156"/>
      <c r="F100" s="156"/>
      <c r="G100" s="156"/>
      <c r="H100" s="156"/>
      <c r="I100" s="156"/>
      <c r="J100" s="156"/>
      <c r="K100" s="156"/>
      <c r="L100" s="156"/>
    </row>
    <row r="102" spans="3:15" ht="14.45" customHeight="1" x14ac:dyDescent="0.25">
      <c r="C102" s="154" t="s">
        <v>20</v>
      </c>
      <c r="D102" s="154"/>
      <c r="E102" s="154"/>
      <c r="F102" s="154"/>
      <c r="G102" s="154"/>
      <c r="H102" s="154"/>
      <c r="I102" s="154"/>
      <c r="J102" s="154"/>
      <c r="K102" s="154"/>
      <c r="L102" s="154"/>
      <c r="M102" s="154"/>
      <c r="N102" s="154"/>
      <c r="O102" s="154"/>
    </row>
    <row r="103" spans="3:15" ht="14.45" customHeight="1" x14ac:dyDescent="0.25">
      <c r="C103" s="136" t="s">
        <v>6</v>
      </c>
      <c r="D103" s="137"/>
      <c r="E103" s="137"/>
      <c r="F103" s="142">
        <f>'Total reduction visuals'!N30</f>
        <v>1</v>
      </c>
      <c r="G103" s="142"/>
      <c r="H103" s="143"/>
      <c r="I103" s="136" t="s">
        <v>7</v>
      </c>
      <c r="J103" s="137"/>
      <c r="K103" s="137"/>
      <c r="L103" s="148">
        <f>'Total reduction visuals'!N31</f>
        <v>1</v>
      </c>
      <c r="M103" s="148"/>
      <c r="N103" s="148"/>
      <c r="O103" s="149"/>
    </row>
    <row r="104" spans="3:15" x14ac:dyDescent="0.25">
      <c r="C104" s="138"/>
      <c r="D104" s="139"/>
      <c r="E104" s="139"/>
      <c r="F104" s="144"/>
      <c r="G104" s="144"/>
      <c r="H104" s="145"/>
      <c r="I104" s="138"/>
      <c r="J104" s="139"/>
      <c r="K104" s="139"/>
      <c r="L104" s="150"/>
      <c r="M104" s="150"/>
      <c r="N104" s="150"/>
      <c r="O104" s="151"/>
    </row>
    <row r="105" spans="3:15" ht="14.45" customHeight="1" x14ac:dyDescent="0.25">
      <c r="C105" s="140"/>
      <c r="D105" s="141"/>
      <c r="E105" s="141"/>
      <c r="F105" s="146"/>
      <c r="G105" s="146"/>
      <c r="H105" s="147"/>
      <c r="I105" s="140"/>
      <c r="J105" s="141"/>
      <c r="K105" s="141"/>
      <c r="L105" s="152"/>
      <c r="M105" s="152"/>
      <c r="N105" s="152"/>
      <c r="O105" s="153"/>
    </row>
    <row r="106" spans="3:15" ht="14.45" customHeight="1" x14ac:dyDescent="0.25"/>
    <row r="107" spans="3:15" ht="14.45" customHeight="1" x14ac:dyDescent="0.25"/>
    <row r="108" spans="3:15" ht="14.45" customHeight="1" x14ac:dyDescent="0.25"/>
    <row r="109" spans="3:15" ht="14.45" customHeight="1" x14ac:dyDescent="0.25"/>
    <row r="145" s="115" customFormat="1" x14ac:dyDescent="0.25"/>
    <row r="146" s="115" customFormat="1" x14ac:dyDescent="0.25"/>
    <row r="147" s="115" customFormat="1" x14ac:dyDescent="0.25"/>
    <row r="148" s="115" customFormat="1" x14ac:dyDescent="0.25"/>
    <row r="149" s="115" customFormat="1" x14ac:dyDescent="0.25"/>
    <row r="150" s="115" customFormat="1" x14ac:dyDescent="0.25"/>
    <row r="151" s="115" customFormat="1" x14ac:dyDescent="0.25"/>
    <row r="152" s="115" customFormat="1" x14ac:dyDescent="0.25"/>
    <row r="153" s="115" customFormat="1" x14ac:dyDescent="0.25"/>
    <row r="154" s="115" customFormat="1" x14ac:dyDescent="0.25"/>
    <row r="155" s="115" customFormat="1" x14ac:dyDescent="0.25"/>
    <row r="156" s="115" customFormat="1" x14ac:dyDescent="0.25"/>
    <row r="157" s="115" customFormat="1" x14ac:dyDescent="0.25"/>
    <row r="158" s="115" customFormat="1" x14ac:dyDescent="0.25"/>
    <row r="159" s="115" customFormat="1" x14ac:dyDescent="0.25"/>
    <row r="160" s="115" customFormat="1" x14ac:dyDescent="0.25"/>
    <row r="161" s="115" customFormat="1" x14ac:dyDescent="0.25"/>
    <row r="162" s="115" customFormat="1" x14ac:dyDescent="0.25"/>
    <row r="163" s="115" customFormat="1" x14ac:dyDescent="0.25"/>
    <row r="164" s="115" customFormat="1" x14ac:dyDescent="0.25"/>
    <row r="165" s="115" customFormat="1" x14ac:dyDescent="0.25"/>
    <row r="166" s="115" customFormat="1" x14ac:dyDescent="0.25"/>
    <row r="167" s="115" customFormat="1" x14ac:dyDescent="0.25"/>
    <row r="168" s="115" customFormat="1" x14ac:dyDescent="0.25"/>
    <row r="169" s="115" customFormat="1" x14ac:dyDescent="0.25"/>
    <row r="170" s="115" customFormat="1" x14ac:dyDescent="0.25"/>
    <row r="171" s="115" customFormat="1" x14ac:dyDescent="0.25"/>
    <row r="172" s="115" customFormat="1" x14ac:dyDescent="0.25"/>
    <row r="173" s="115" customFormat="1" x14ac:dyDescent="0.25"/>
    <row r="174" s="115" customFormat="1" x14ac:dyDescent="0.25"/>
    <row r="175" s="115" customFormat="1" x14ac:dyDescent="0.25"/>
    <row r="176" s="115" customFormat="1" x14ac:dyDescent="0.25"/>
    <row r="177" s="115" customFormat="1" x14ac:dyDescent="0.25"/>
    <row r="178" s="115" customFormat="1" x14ac:dyDescent="0.25"/>
    <row r="179" s="115" customFormat="1" x14ac:dyDescent="0.25"/>
    <row r="180" s="115" customFormat="1" x14ac:dyDescent="0.25"/>
    <row r="181" s="115" customFormat="1" x14ac:dyDescent="0.25"/>
    <row r="182" s="115" customFormat="1" x14ac:dyDescent="0.25"/>
    <row r="183" s="115" customFormat="1" x14ac:dyDescent="0.25"/>
    <row r="184" s="115" customFormat="1" x14ac:dyDescent="0.25"/>
    <row r="185" s="115" customFormat="1" x14ac:dyDescent="0.25"/>
    <row r="186" s="115" customFormat="1" x14ac:dyDescent="0.25"/>
    <row r="187" s="115" customFormat="1" x14ac:dyDescent="0.25"/>
    <row r="188" s="115" customFormat="1" x14ac:dyDescent="0.25"/>
    <row r="189" s="115" customFormat="1" x14ac:dyDescent="0.25"/>
    <row r="190" s="115" customFormat="1" x14ac:dyDescent="0.25"/>
    <row r="191" s="115" customFormat="1" x14ac:dyDescent="0.25"/>
    <row r="192" s="115" customFormat="1" x14ac:dyDescent="0.25"/>
    <row r="193" s="115" customFormat="1" x14ac:dyDescent="0.25"/>
    <row r="194" s="115" customFormat="1" x14ac:dyDescent="0.25"/>
    <row r="195" s="115" customFormat="1" x14ac:dyDescent="0.25"/>
    <row r="196" s="115" customFormat="1" x14ac:dyDescent="0.25"/>
    <row r="197" s="115" customFormat="1" x14ac:dyDescent="0.25"/>
    <row r="198" s="115" customFormat="1" x14ac:dyDescent="0.25"/>
    <row r="199" s="115" customFormat="1" x14ac:dyDescent="0.25"/>
    <row r="200" s="115" customFormat="1" x14ac:dyDescent="0.25"/>
    <row r="201" s="115" customFormat="1" x14ac:dyDescent="0.25"/>
    <row r="202" s="115" customFormat="1" x14ac:dyDescent="0.25"/>
    <row r="203" s="115" customFormat="1" x14ac:dyDescent="0.25"/>
    <row r="204" s="115" customFormat="1" x14ac:dyDescent="0.25"/>
    <row r="205" s="115" customFormat="1" x14ac:dyDescent="0.25"/>
    <row r="206" s="115" customFormat="1" x14ac:dyDescent="0.25"/>
    <row r="207" s="115" customFormat="1" x14ac:dyDescent="0.25"/>
    <row r="208" s="115" customFormat="1" x14ac:dyDescent="0.25"/>
    <row r="209" s="115" customFormat="1" x14ac:dyDescent="0.25"/>
    <row r="210" s="115" customFormat="1" x14ac:dyDescent="0.25"/>
    <row r="211" s="115" customFormat="1" x14ac:dyDescent="0.25"/>
    <row r="212" s="115" customFormat="1" x14ac:dyDescent="0.25"/>
    <row r="213" s="115" customFormat="1" x14ac:dyDescent="0.25"/>
    <row r="214" s="115" customFormat="1" x14ac:dyDescent="0.25"/>
    <row r="215" s="115" customFormat="1" x14ac:dyDescent="0.25"/>
    <row r="216" s="115" customFormat="1" x14ac:dyDescent="0.25"/>
    <row r="217" s="115" customFormat="1" x14ac:dyDescent="0.25"/>
    <row r="218" s="115" customFormat="1" x14ac:dyDescent="0.25"/>
    <row r="219" s="115" customFormat="1" x14ac:dyDescent="0.25"/>
    <row r="220" s="115" customFormat="1" x14ac:dyDescent="0.25"/>
    <row r="221" s="115" customFormat="1" x14ac:dyDescent="0.25"/>
    <row r="222" s="115" customFormat="1" x14ac:dyDescent="0.25"/>
    <row r="223" s="115" customFormat="1" x14ac:dyDescent="0.25"/>
    <row r="224" s="115" customFormat="1" x14ac:dyDescent="0.25"/>
    <row r="225" s="115" customFormat="1" x14ac:dyDescent="0.25"/>
    <row r="226" s="115" customFormat="1" x14ac:dyDescent="0.25"/>
    <row r="227" s="115" customFormat="1" x14ac:dyDescent="0.25"/>
    <row r="228" s="115" customFormat="1" x14ac:dyDescent="0.25"/>
    <row r="229" s="115" customFormat="1" x14ac:dyDescent="0.25"/>
    <row r="230" s="115" customFormat="1" x14ac:dyDescent="0.25"/>
    <row r="231" s="115" customFormat="1" x14ac:dyDescent="0.25"/>
    <row r="232" s="115" customFormat="1" x14ac:dyDescent="0.25"/>
    <row r="233" s="115" customFormat="1" x14ac:dyDescent="0.25"/>
    <row r="234" s="115" customFormat="1" x14ac:dyDescent="0.25"/>
    <row r="235" s="115" customFormat="1" x14ac:dyDescent="0.25"/>
    <row r="236" s="115" customFormat="1" x14ac:dyDescent="0.25"/>
    <row r="237" s="115" customFormat="1" x14ac:dyDescent="0.25"/>
    <row r="238" s="115" customFormat="1" x14ac:dyDescent="0.25"/>
    <row r="239" s="115" customFormat="1" x14ac:dyDescent="0.25"/>
    <row r="240" s="115" customFormat="1" x14ac:dyDescent="0.25"/>
    <row r="241" s="115" customFormat="1" x14ac:dyDescent="0.25"/>
    <row r="242" s="115" customFormat="1" x14ac:dyDescent="0.25"/>
    <row r="243" s="115" customFormat="1" x14ac:dyDescent="0.25"/>
    <row r="244" s="115" customFormat="1" x14ac:dyDescent="0.25"/>
    <row r="245" s="115" customFormat="1" x14ac:dyDescent="0.25"/>
    <row r="246" s="115" customFormat="1" x14ac:dyDescent="0.25"/>
    <row r="247" s="115" customFormat="1" x14ac:dyDescent="0.25"/>
    <row r="248" s="115" customFormat="1" x14ac:dyDescent="0.25"/>
    <row r="249" s="115" customFormat="1" x14ac:dyDescent="0.25"/>
    <row r="250" s="115" customFormat="1" x14ac:dyDescent="0.25"/>
    <row r="251" s="115" customFormat="1" x14ac:dyDescent="0.25"/>
    <row r="252" s="115" customFormat="1" x14ac:dyDescent="0.25"/>
    <row r="253" s="115" customFormat="1" x14ac:dyDescent="0.25"/>
    <row r="254" s="115" customFormat="1" x14ac:dyDescent="0.25"/>
    <row r="255" s="115" customFormat="1" x14ac:dyDescent="0.25"/>
    <row r="256" s="115" customFormat="1" x14ac:dyDescent="0.25"/>
    <row r="257" s="115" customFormat="1" x14ac:dyDescent="0.25"/>
    <row r="258" s="115" customFormat="1" x14ac:dyDescent="0.25"/>
    <row r="259" s="115" customFormat="1" x14ac:dyDescent="0.25"/>
    <row r="260" s="115" customFormat="1" x14ac:dyDescent="0.25"/>
    <row r="261" s="115" customFormat="1" x14ac:dyDescent="0.25"/>
    <row r="262" s="115" customFormat="1" x14ac:dyDescent="0.25"/>
    <row r="263" s="115" customFormat="1" x14ac:dyDescent="0.25"/>
    <row r="264" s="115" customFormat="1" x14ac:dyDescent="0.25"/>
    <row r="265" s="115" customFormat="1" x14ac:dyDescent="0.25"/>
    <row r="266" s="115" customFormat="1" x14ac:dyDescent="0.25"/>
    <row r="267" s="115" customFormat="1" x14ac:dyDescent="0.25"/>
    <row r="268" s="115" customFormat="1" x14ac:dyDescent="0.25"/>
    <row r="269" s="115" customFormat="1" x14ac:dyDescent="0.25"/>
    <row r="270" s="115" customFormat="1" x14ac:dyDescent="0.25"/>
    <row r="271" s="115" customFormat="1" x14ac:dyDescent="0.25"/>
    <row r="272" s="115" customFormat="1" x14ac:dyDescent="0.25"/>
    <row r="273" s="115" customFormat="1" x14ac:dyDescent="0.25"/>
    <row r="274" s="115" customFormat="1" x14ac:dyDescent="0.25"/>
    <row r="275" s="115" customFormat="1" x14ac:dyDescent="0.25"/>
    <row r="276" s="115" customFormat="1" x14ac:dyDescent="0.25"/>
    <row r="277" s="115" customFormat="1" x14ac:dyDescent="0.25"/>
    <row r="278" s="115" customFormat="1" x14ac:dyDescent="0.25"/>
    <row r="279" s="115" customFormat="1" x14ac:dyDescent="0.25"/>
    <row r="280" s="115" customFormat="1" x14ac:dyDescent="0.25"/>
    <row r="281" s="115" customFormat="1" x14ac:dyDescent="0.25"/>
    <row r="282" s="115" customFormat="1" x14ac:dyDescent="0.25"/>
    <row r="283" s="115" customFormat="1" x14ac:dyDescent="0.25"/>
    <row r="284" s="115" customFormat="1" x14ac:dyDescent="0.25"/>
    <row r="285" s="115" customFormat="1" x14ac:dyDescent="0.25"/>
    <row r="286" s="115" customFormat="1" x14ac:dyDescent="0.25"/>
    <row r="287" s="115" customFormat="1" x14ac:dyDescent="0.25"/>
    <row r="288" s="115" customFormat="1" x14ac:dyDescent="0.25"/>
    <row r="289" s="115" customFormat="1" x14ac:dyDescent="0.25"/>
    <row r="290" s="115" customFormat="1" x14ac:dyDescent="0.25"/>
    <row r="291" s="115" customFormat="1" x14ac:dyDescent="0.25"/>
    <row r="292" s="115" customFormat="1" x14ac:dyDescent="0.25"/>
    <row r="293" s="115" customFormat="1" x14ac:dyDescent="0.25"/>
    <row r="294" s="115" customFormat="1" x14ac:dyDescent="0.25"/>
    <row r="295" s="115" customFormat="1" x14ac:dyDescent="0.25"/>
    <row r="296" s="115" customFormat="1" x14ac:dyDescent="0.25"/>
    <row r="297" s="115" customFormat="1" x14ac:dyDescent="0.25"/>
    <row r="298" s="115" customFormat="1" x14ac:dyDescent="0.25"/>
    <row r="299" s="115" customFormat="1" x14ac:dyDescent="0.25"/>
    <row r="300" s="115" customFormat="1" x14ac:dyDescent="0.25"/>
    <row r="301" s="115" customFormat="1" x14ac:dyDescent="0.25"/>
    <row r="302" s="115" customFormat="1" x14ac:dyDescent="0.25"/>
    <row r="303" s="115" customFormat="1" x14ac:dyDescent="0.25"/>
    <row r="304" s="115" customFormat="1" x14ac:dyDescent="0.25"/>
    <row r="305" s="115" customFormat="1" x14ac:dyDescent="0.25"/>
    <row r="306" s="115" customFormat="1" x14ac:dyDescent="0.25"/>
    <row r="307" s="115" customFormat="1" x14ac:dyDescent="0.25"/>
    <row r="308" s="115" customFormat="1" x14ac:dyDescent="0.25"/>
    <row r="309" s="115" customFormat="1" x14ac:dyDescent="0.25"/>
    <row r="310" s="115" customFormat="1" x14ac:dyDescent="0.25"/>
    <row r="311" s="115" customFormat="1" x14ac:dyDescent="0.25"/>
    <row r="312" s="115" customFormat="1" x14ac:dyDescent="0.25"/>
    <row r="313" s="115" customFormat="1" x14ac:dyDescent="0.25"/>
    <row r="314" s="115" customFormat="1" x14ac:dyDescent="0.25"/>
    <row r="315" s="115" customFormat="1" x14ac:dyDescent="0.25"/>
    <row r="316" s="115" customFormat="1" x14ac:dyDescent="0.25"/>
    <row r="317" s="115" customFormat="1" x14ac:dyDescent="0.25"/>
    <row r="318" s="115" customFormat="1" x14ac:dyDescent="0.25"/>
    <row r="319" s="115" customFormat="1" x14ac:dyDescent="0.25"/>
    <row r="320" s="115" customFormat="1" x14ac:dyDescent="0.25"/>
    <row r="321" s="115" customFormat="1" x14ac:dyDescent="0.25"/>
    <row r="322" s="115" customFormat="1" x14ac:dyDescent="0.25"/>
    <row r="323" s="115" customFormat="1" x14ac:dyDescent="0.25"/>
    <row r="324" s="115" customFormat="1" x14ac:dyDescent="0.25"/>
    <row r="325" s="115" customFormat="1" x14ac:dyDescent="0.25"/>
    <row r="326" s="115" customFormat="1" x14ac:dyDescent="0.25"/>
    <row r="327" s="115" customFormat="1" x14ac:dyDescent="0.25"/>
    <row r="328" s="115" customFormat="1" x14ac:dyDescent="0.25"/>
    <row r="329" s="115" customFormat="1" x14ac:dyDescent="0.25"/>
    <row r="330" s="115" customFormat="1" x14ac:dyDescent="0.25"/>
    <row r="331" s="115" customFormat="1" x14ac:dyDescent="0.25"/>
    <row r="332" s="115" customFormat="1" x14ac:dyDescent="0.25"/>
    <row r="333" s="115" customFormat="1" x14ac:dyDescent="0.25"/>
    <row r="334" s="115" customFormat="1" x14ac:dyDescent="0.25"/>
    <row r="335" s="115" customFormat="1" x14ac:dyDescent="0.25"/>
    <row r="336" s="115" customFormat="1" x14ac:dyDescent="0.25"/>
    <row r="337" s="115" customFormat="1" x14ac:dyDescent="0.25"/>
    <row r="338" s="115" customFormat="1" x14ac:dyDescent="0.25"/>
    <row r="339" s="115" customFormat="1" x14ac:dyDescent="0.25"/>
    <row r="340" s="115" customFormat="1" x14ac:dyDescent="0.25"/>
    <row r="341" s="115" customFormat="1" x14ac:dyDescent="0.25"/>
    <row r="342" s="115" customFormat="1" x14ac:dyDescent="0.25"/>
    <row r="343" s="115" customFormat="1" x14ac:dyDescent="0.25"/>
    <row r="344" s="115" customFormat="1" x14ac:dyDescent="0.25"/>
    <row r="345" s="115" customFormat="1" x14ac:dyDescent="0.25"/>
    <row r="346" s="115" customFormat="1" x14ac:dyDescent="0.25"/>
    <row r="347" s="115" customFormat="1" x14ac:dyDescent="0.25"/>
    <row r="348" s="115" customFormat="1" x14ac:dyDescent="0.25"/>
    <row r="349" s="115" customFormat="1" x14ac:dyDescent="0.25"/>
    <row r="350" s="115" customFormat="1" x14ac:dyDescent="0.25"/>
    <row r="351" s="115" customFormat="1" x14ac:dyDescent="0.25"/>
    <row r="352" s="115" customFormat="1" x14ac:dyDescent="0.25"/>
    <row r="353" s="115" customFormat="1" x14ac:dyDescent="0.25"/>
    <row r="354" s="115" customFormat="1" x14ac:dyDescent="0.25"/>
    <row r="355" s="115" customFormat="1" x14ac:dyDescent="0.25"/>
    <row r="356" s="115" customFormat="1" x14ac:dyDescent="0.25"/>
    <row r="357" s="115" customFormat="1" x14ac:dyDescent="0.25"/>
    <row r="358" s="115" customFormat="1" x14ac:dyDescent="0.25"/>
    <row r="359" s="115" customFormat="1" x14ac:dyDescent="0.25"/>
    <row r="360" s="115" customFormat="1" x14ac:dyDescent="0.25"/>
    <row r="361" s="115" customFormat="1" x14ac:dyDescent="0.25"/>
    <row r="362" s="115" customFormat="1" x14ac:dyDescent="0.25"/>
    <row r="363" s="115" customFormat="1" x14ac:dyDescent="0.25"/>
    <row r="364" s="115" customFormat="1" x14ac:dyDescent="0.25"/>
    <row r="365" s="115" customFormat="1" x14ac:dyDescent="0.25"/>
    <row r="366" s="115" customFormat="1" x14ac:dyDescent="0.25"/>
    <row r="367" s="115" customFormat="1" x14ac:dyDescent="0.25"/>
    <row r="368" s="115" customFormat="1" x14ac:dyDescent="0.25"/>
    <row r="369" s="115" customFormat="1" x14ac:dyDescent="0.25"/>
    <row r="370" s="115" customFormat="1" x14ac:dyDescent="0.25"/>
    <row r="371" s="115" customFormat="1" x14ac:dyDescent="0.25"/>
    <row r="372" s="115" customFormat="1" x14ac:dyDescent="0.25"/>
    <row r="373" s="115" customFormat="1" x14ac:dyDescent="0.25"/>
    <row r="374" s="115" customFormat="1" x14ac:dyDescent="0.25"/>
    <row r="375" s="115" customFormat="1" x14ac:dyDescent="0.25"/>
    <row r="376" s="115" customFormat="1" x14ac:dyDescent="0.25"/>
    <row r="377" s="115" customFormat="1" x14ac:dyDescent="0.25"/>
    <row r="378" s="115" customFormat="1" x14ac:dyDescent="0.25"/>
    <row r="379" s="115" customFormat="1" x14ac:dyDescent="0.25"/>
    <row r="380" s="115" customFormat="1" x14ac:dyDescent="0.25"/>
    <row r="381" s="115" customFormat="1" x14ac:dyDescent="0.25"/>
    <row r="382" s="115" customFormat="1" x14ac:dyDescent="0.25"/>
    <row r="383" s="115" customFormat="1" x14ac:dyDescent="0.25"/>
    <row r="384" s="115" customFormat="1" x14ac:dyDescent="0.25"/>
    <row r="385" s="115" customFormat="1" x14ac:dyDescent="0.25"/>
    <row r="386" s="115" customFormat="1" x14ac:dyDescent="0.25"/>
    <row r="387" s="115" customFormat="1" x14ac:dyDescent="0.25"/>
    <row r="388" s="115" customFormat="1" x14ac:dyDescent="0.25"/>
    <row r="389" s="115" customFormat="1" x14ac:dyDescent="0.25"/>
    <row r="390" s="115" customFormat="1" x14ac:dyDescent="0.25"/>
    <row r="391" s="115" customFormat="1" x14ac:dyDescent="0.25"/>
    <row r="392" s="115" customFormat="1" x14ac:dyDescent="0.25"/>
    <row r="393" s="115" customFormat="1" x14ac:dyDescent="0.25"/>
    <row r="394" s="115" customFormat="1" x14ac:dyDescent="0.25"/>
    <row r="395" s="115" customFormat="1" x14ac:dyDescent="0.25"/>
    <row r="396" s="115" customFormat="1" x14ac:dyDescent="0.25"/>
    <row r="397" s="115" customFormat="1" x14ac:dyDescent="0.25"/>
    <row r="398" s="115" customFormat="1" x14ac:dyDescent="0.25"/>
    <row r="399" s="115" customFormat="1" x14ac:dyDescent="0.25"/>
    <row r="400" s="115" customFormat="1" x14ac:dyDescent="0.25"/>
    <row r="401" s="115" customFormat="1" x14ac:dyDescent="0.25"/>
    <row r="402" s="115" customFormat="1" x14ac:dyDescent="0.25"/>
    <row r="403" s="115" customFormat="1" x14ac:dyDescent="0.25"/>
    <row r="404" s="115" customFormat="1" x14ac:dyDescent="0.25"/>
    <row r="405" s="115" customFormat="1" x14ac:dyDescent="0.25"/>
    <row r="406" s="115" customFormat="1" x14ac:dyDescent="0.25"/>
    <row r="407" s="115" customFormat="1" x14ac:dyDescent="0.25"/>
    <row r="408" s="115" customFormat="1" x14ac:dyDescent="0.25"/>
    <row r="409" s="115" customFormat="1" x14ac:dyDescent="0.25"/>
    <row r="410" s="115" customFormat="1" x14ac:dyDescent="0.25"/>
    <row r="411" s="115" customFormat="1" x14ac:dyDescent="0.25"/>
    <row r="412" s="115" customFormat="1" x14ac:dyDescent="0.25"/>
    <row r="413" s="115" customFormat="1" x14ac:dyDescent="0.25"/>
    <row r="414" s="115" customFormat="1" x14ac:dyDescent="0.25"/>
    <row r="415" s="115" customFormat="1" x14ac:dyDescent="0.25"/>
    <row r="416" s="115" customFormat="1" x14ac:dyDescent="0.25"/>
    <row r="417" s="115" customFormat="1" x14ac:dyDescent="0.25"/>
    <row r="418" s="115" customFormat="1" x14ac:dyDescent="0.25"/>
    <row r="419" s="115" customFormat="1" x14ac:dyDescent="0.25"/>
    <row r="420" s="115" customFormat="1" x14ac:dyDescent="0.25"/>
    <row r="421" s="115" customFormat="1" x14ac:dyDescent="0.25"/>
    <row r="422" s="115" customFormat="1" x14ac:dyDescent="0.25"/>
    <row r="423" s="115" customFormat="1" x14ac:dyDescent="0.25"/>
    <row r="424" s="115" customFormat="1" x14ac:dyDescent="0.25"/>
    <row r="425" s="115" customFormat="1" x14ac:dyDescent="0.25"/>
    <row r="426" s="115" customFormat="1" x14ac:dyDescent="0.25"/>
    <row r="427" s="115" customFormat="1" x14ac:dyDescent="0.25"/>
    <row r="428" s="115" customFormat="1" x14ac:dyDescent="0.25"/>
    <row r="429" s="115" customFormat="1" x14ac:dyDescent="0.25"/>
    <row r="430" s="115" customFormat="1" x14ac:dyDescent="0.25"/>
    <row r="431" s="115" customFormat="1" x14ac:dyDescent="0.25"/>
    <row r="432" s="115" customFormat="1" x14ac:dyDescent="0.25"/>
    <row r="433" s="115" customFormat="1" x14ac:dyDescent="0.25"/>
    <row r="434" s="115" customFormat="1" x14ac:dyDescent="0.25"/>
    <row r="435" s="115" customFormat="1" x14ac:dyDescent="0.25"/>
    <row r="436" s="115" customFormat="1" x14ac:dyDescent="0.25"/>
    <row r="437" s="115" customFormat="1" x14ac:dyDescent="0.25"/>
    <row r="438" s="115" customFormat="1" x14ac:dyDescent="0.25"/>
    <row r="439" s="115" customFormat="1" x14ac:dyDescent="0.25"/>
    <row r="440" s="115" customFormat="1" x14ac:dyDescent="0.25"/>
    <row r="441" s="115" customFormat="1" x14ac:dyDescent="0.25"/>
    <row r="442" s="115" customFormat="1" x14ac:dyDescent="0.25"/>
    <row r="443" s="115" customFormat="1" x14ac:dyDescent="0.25"/>
    <row r="444" s="115" customFormat="1" x14ac:dyDescent="0.25"/>
    <row r="445" s="115" customFormat="1" x14ac:dyDescent="0.25"/>
    <row r="446" s="115" customFormat="1" x14ac:dyDescent="0.25"/>
    <row r="447" s="115" customFormat="1" x14ac:dyDescent="0.25"/>
    <row r="448" s="115" customFormat="1" x14ac:dyDescent="0.25"/>
    <row r="449" s="115" customFormat="1" x14ac:dyDescent="0.25"/>
    <row r="450" s="115" customFormat="1" x14ac:dyDescent="0.25"/>
    <row r="451" s="115" customFormat="1" x14ac:dyDescent="0.25"/>
    <row r="452" s="115" customFormat="1" x14ac:dyDescent="0.25"/>
    <row r="453" s="115" customFormat="1" x14ac:dyDescent="0.25"/>
    <row r="454" s="115" customFormat="1" x14ac:dyDescent="0.25"/>
    <row r="455" s="115" customFormat="1" x14ac:dyDescent="0.25"/>
    <row r="456" s="115" customFormat="1" x14ac:dyDescent="0.25"/>
    <row r="457" s="115" customFormat="1" x14ac:dyDescent="0.25"/>
    <row r="458" s="115" customFormat="1" x14ac:dyDescent="0.25"/>
    <row r="459" s="115" customFormat="1" x14ac:dyDescent="0.25"/>
    <row r="460" s="115" customFormat="1" x14ac:dyDescent="0.25"/>
    <row r="461" s="115" customFormat="1" x14ac:dyDescent="0.25"/>
    <row r="462" s="115" customFormat="1" x14ac:dyDescent="0.25"/>
    <row r="463" s="115" customFormat="1" x14ac:dyDescent="0.25"/>
    <row r="464" s="115" customFormat="1" x14ac:dyDescent="0.25"/>
    <row r="465" s="115" customFormat="1" x14ac:dyDescent="0.25"/>
    <row r="466" s="115" customFormat="1" x14ac:dyDescent="0.25"/>
    <row r="467" s="115" customFormat="1" x14ac:dyDescent="0.25"/>
    <row r="468" s="115" customFormat="1" x14ac:dyDescent="0.25"/>
    <row r="469" s="115" customFormat="1" x14ac:dyDescent="0.25"/>
    <row r="470" s="115" customFormat="1" x14ac:dyDescent="0.25"/>
    <row r="471" s="115" customFormat="1" x14ac:dyDescent="0.25"/>
    <row r="472" s="115" customFormat="1" x14ac:dyDescent="0.25"/>
    <row r="473" s="115" customFormat="1" x14ac:dyDescent="0.25"/>
    <row r="474" s="115" customFormat="1" x14ac:dyDescent="0.25"/>
    <row r="475" s="115" customFormat="1" x14ac:dyDescent="0.25"/>
    <row r="476" s="115" customFormat="1" x14ac:dyDescent="0.25"/>
    <row r="477" s="115" customFormat="1" x14ac:dyDescent="0.25"/>
    <row r="478" s="115" customFormat="1" x14ac:dyDescent="0.25"/>
    <row r="479" s="115" customFormat="1" x14ac:dyDescent="0.25"/>
    <row r="480" s="115" customFormat="1" x14ac:dyDescent="0.25"/>
    <row r="481" s="115" customFormat="1" x14ac:dyDescent="0.25"/>
    <row r="482" s="115" customFormat="1" x14ac:dyDescent="0.25"/>
    <row r="483" s="115" customFormat="1" x14ac:dyDescent="0.25"/>
    <row r="484" s="115" customFormat="1" x14ac:dyDescent="0.25"/>
    <row r="485" s="115" customFormat="1" x14ac:dyDescent="0.25"/>
    <row r="486" s="115" customFormat="1" x14ac:dyDescent="0.25"/>
    <row r="487" s="115" customFormat="1" x14ac:dyDescent="0.25"/>
    <row r="488" s="115" customFormat="1" x14ac:dyDescent="0.25"/>
    <row r="489" s="115" customFormat="1" x14ac:dyDescent="0.25"/>
    <row r="490" s="115" customFormat="1" x14ac:dyDescent="0.25"/>
    <row r="491" s="115" customFormat="1" x14ac:dyDescent="0.25"/>
    <row r="492" s="115" customFormat="1" x14ac:dyDescent="0.25"/>
    <row r="493" s="115" customFormat="1" x14ac:dyDescent="0.25"/>
    <row r="494" s="115" customFormat="1" x14ac:dyDescent="0.25"/>
    <row r="495" s="115" customFormat="1" x14ac:dyDescent="0.25"/>
    <row r="496" s="115" customFormat="1" x14ac:dyDescent="0.25"/>
    <row r="497" s="115" customFormat="1" x14ac:dyDescent="0.25"/>
    <row r="498" s="115" customFormat="1" x14ac:dyDescent="0.25"/>
    <row r="499" s="115" customFormat="1" x14ac:dyDescent="0.25"/>
    <row r="500" s="115" customFormat="1" x14ac:dyDescent="0.25"/>
    <row r="501" s="115" customFormat="1" x14ac:dyDescent="0.25"/>
    <row r="502" s="115" customFormat="1" x14ac:dyDescent="0.25"/>
    <row r="503" s="115" customFormat="1" x14ac:dyDescent="0.25"/>
    <row r="504" s="115" customFormat="1" x14ac:dyDescent="0.25"/>
    <row r="505" s="115" customFormat="1" x14ac:dyDescent="0.25"/>
    <row r="506" s="115" customFormat="1" x14ac:dyDescent="0.25"/>
    <row r="507" s="115" customFormat="1" x14ac:dyDescent="0.25"/>
    <row r="508" s="115" customFormat="1" x14ac:dyDescent="0.25"/>
    <row r="509" s="115" customFormat="1" x14ac:dyDescent="0.25"/>
    <row r="510" s="115" customFormat="1" x14ac:dyDescent="0.25"/>
    <row r="511" s="115" customFormat="1" x14ac:dyDescent="0.25"/>
    <row r="512" s="115" customFormat="1" x14ac:dyDescent="0.25"/>
    <row r="513" s="115" customFormat="1" x14ac:dyDescent="0.25"/>
    <row r="514" s="115" customFormat="1" x14ac:dyDescent="0.25"/>
    <row r="515" s="115" customFormat="1" x14ac:dyDescent="0.25"/>
    <row r="516" s="115" customFormat="1" x14ac:dyDescent="0.25"/>
    <row r="517" s="115" customFormat="1" x14ac:dyDescent="0.25"/>
    <row r="518" s="115" customFormat="1" x14ac:dyDescent="0.25"/>
    <row r="519" s="115" customFormat="1" x14ac:dyDescent="0.25"/>
    <row r="520" s="115" customFormat="1" x14ac:dyDescent="0.25"/>
    <row r="521" s="115" customFormat="1" x14ac:dyDescent="0.25"/>
    <row r="522" s="115" customFormat="1" x14ac:dyDescent="0.25"/>
    <row r="523" s="115" customFormat="1" x14ac:dyDescent="0.25"/>
    <row r="524" s="115" customFormat="1" x14ac:dyDescent="0.25"/>
    <row r="525" s="115" customFormat="1" x14ac:dyDescent="0.25"/>
    <row r="526" s="115" customFormat="1" x14ac:dyDescent="0.25"/>
    <row r="527" s="115" customFormat="1" x14ac:dyDescent="0.25"/>
    <row r="528" s="115" customFormat="1" x14ac:dyDescent="0.25"/>
    <row r="529" s="115" customFormat="1" x14ac:dyDescent="0.25"/>
    <row r="530" s="115" customFormat="1" x14ac:dyDescent="0.25"/>
    <row r="531" s="115" customFormat="1" x14ac:dyDescent="0.25"/>
    <row r="532" s="115" customFormat="1" x14ac:dyDescent="0.25"/>
    <row r="533" s="115" customFormat="1" x14ac:dyDescent="0.25"/>
    <row r="534" s="115" customFormat="1" x14ac:dyDescent="0.25"/>
    <row r="535" s="115" customFormat="1" x14ac:dyDescent="0.25"/>
    <row r="536" s="115" customFormat="1" x14ac:dyDescent="0.25"/>
    <row r="537" s="115" customFormat="1" x14ac:dyDescent="0.25"/>
    <row r="538" s="115" customFormat="1" x14ac:dyDescent="0.25"/>
    <row r="539" s="115" customFormat="1" x14ac:dyDescent="0.25"/>
    <row r="540" s="115" customFormat="1" x14ac:dyDescent="0.25"/>
    <row r="541" s="115" customFormat="1" x14ac:dyDescent="0.25"/>
    <row r="542" s="115" customFormat="1" x14ac:dyDescent="0.25"/>
    <row r="543" s="115" customFormat="1" x14ac:dyDescent="0.25"/>
    <row r="544" s="115" customFormat="1" x14ac:dyDescent="0.25"/>
    <row r="545" s="115" customFormat="1" x14ac:dyDescent="0.25"/>
    <row r="546" s="115" customFormat="1" x14ac:dyDescent="0.25"/>
    <row r="547" s="115" customFormat="1" x14ac:dyDescent="0.25"/>
    <row r="548" s="115" customFormat="1" x14ac:dyDescent="0.25"/>
    <row r="549" s="115" customFormat="1" x14ac:dyDescent="0.25"/>
    <row r="550" s="115" customFormat="1" x14ac:dyDescent="0.25"/>
    <row r="551" s="115" customFormat="1" x14ac:dyDescent="0.25"/>
    <row r="552" s="115" customFormat="1" x14ac:dyDescent="0.25"/>
    <row r="553" s="115" customFormat="1" x14ac:dyDescent="0.25"/>
    <row r="554" s="115" customFormat="1" x14ac:dyDescent="0.25"/>
    <row r="555" s="115" customFormat="1" x14ac:dyDescent="0.25"/>
    <row r="556" s="115" customFormat="1" x14ac:dyDescent="0.25"/>
    <row r="557" s="115" customFormat="1" x14ac:dyDescent="0.25"/>
    <row r="558" s="115" customFormat="1" x14ac:dyDescent="0.25"/>
    <row r="559" s="115" customFormat="1" x14ac:dyDescent="0.25"/>
    <row r="560" s="115" customFormat="1" x14ac:dyDescent="0.25"/>
    <row r="561" s="115" customFormat="1" x14ac:dyDescent="0.25"/>
    <row r="562" s="115" customFormat="1" x14ac:dyDescent="0.25"/>
    <row r="563" s="115" customFormat="1" x14ac:dyDescent="0.25"/>
    <row r="564" s="115" customFormat="1" x14ac:dyDescent="0.25"/>
    <row r="565" s="115" customFormat="1" x14ac:dyDescent="0.25"/>
    <row r="566" s="115" customFormat="1" x14ac:dyDescent="0.25"/>
    <row r="567" s="115" customFormat="1" x14ac:dyDescent="0.25"/>
    <row r="568" s="115" customFormat="1" x14ac:dyDescent="0.25"/>
    <row r="569" s="115" customFormat="1" x14ac:dyDescent="0.25"/>
    <row r="570" s="115" customFormat="1" x14ac:dyDescent="0.25"/>
    <row r="571" s="115" customFormat="1" x14ac:dyDescent="0.25"/>
    <row r="572" s="115" customFormat="1" x14ac:dyDescent="0.25"/>
    <row r="573" s="115" customFormat="1" x14ac:dyDescent="0.25"/>
    <row r="574" s="115" customFormat="1" x14ac:dyDescent="0.25"/>
    <row r="575" s="115" customFormat="1" x14ac:dyDescent="0.25"/>
    <row r="576" s="115" customFormat="1" x14ac:dyDescent="0.25"/>
    <row r="577" s="115" customFormat="1" x14ac:dyDescent="0.25"/>
    <row r="578" s="115" customFormat="1" x14ac:dyDescent="0.25"/>
    <row r="579" s="115" customFormat="1" x14ac:dyDescent="0.25"/>
    <row r="580" s="115" customFormat="1" x14ac:dyDescent="0.25"/>
    <row r="581" s="115" customFormat="1" x14ac:dyDescent="0.25"/>
    <row r="582" s="115" customFormat="1" x14ac:dyDescent="0.25"/>
    <row r="583" s="115" customFormat="1" x14ac:dyDescent="0.25"/>
    <row r="584" s="115" customFormat="1" x14ac:dyDescent="0.25"/>
    <row r="585" s="115" customFormat="1" x14ac:dyDescent="0.25"/>
    <row r="586" s="115" customFormat="1" x14ac:dyDescent="0.25"/>
    <row r="587" s="115" customFormat="1" x14ac:dyDescent="0.25"/>
    <row r="588" s="115" customFormat="1" x14ac:dyDescent="0.25"/>
    <row r="589" s="115" customFormat="1" x14ac:dyDescent="0.25"/>
    <row r="590" s="115" customFormat="1" x14ac:dyDescent="0.25"/>
    <row r="591" s="115" customFormat="1" x14ac:dyDescent="0.25"/>
    <row r="592" s="115" customFormat="1" x14ac:dyDescent="0.25"/>
    <row r="593" s="115" customFormat="1" x14ac:dyDescent="0.25"/>
    <row r="594" s="115" customFormat="1" x14ac:dyDescent="0.25"/>
    <row r="595" s="115" customFormat="1" x14ac:dyDescent="0.25"/>
    <row r="596" s="115" customFormat="1" x14ac:dyDescent="0.25"/>
    <row r="597" s="115" customFormat="1" x14ac:dyDescent="0.25"/>
    <row r="598" s="115" customFormat="1" x14ac:dyDescent="0.25"/>
    <row r="599" s="115" customFormat="1" x14ac:dyDescent="0.25"/>
    <row r="600" s="115" customFormat="1" x14ac:dyDescent="0.25"/>
    <row r="601" s="115" customFormat="1" x14ac:dyDescent="0.25"/>
    <row r="602" s="115" customFormat="1" x14ac:dyDescent="0.25"/>
    <row r="603" s="115" customFormat="1" x14ac:dyDescent="0.25"/>
    <row r="604" s="115" customFormat="1" x14ac:dyDescent="0.25"/>
    <row r="605" s="115" customFormat="1" x14ac:dyDescent="0.25"/>
    <row r="606" s="115" customFormat="1" x14ac:dyDescent="0.25"/>
    <row r="607" s="115" customFormat="1" x14ac:dyDescent="0.25"/>
    <row r="608" s="115" customFormat="1" x14ac:dyDescent="0.25"/>
    <row r="609" s="115" customFormat="1" x14ac:dyDescent="0.25"/>
    <row r="610" s="115" customFormat="1" x14ac:dyDescent="0.25"/>
    <row r="611" s="115" customFormat="1" x14ac:dyDescent="0.25"/>
    <row r="612" s="115" customFormat="1" x14ac:dyDescent="0.25"/>
    <row r="613" s="115" customFormat="1" x14ac:dyDescent="0.25"/>
    <row r="614" s="115" customFormat="1" x14ac:dyDescent="0.25"/>
    <row r="615" s="115" customFormat="1" x14ac:dyDescent="0.25"/>
    <row r="616" s="115" customFormat="1" x14ac:dyDescent="0.25"/>
    <row r="617" s="115" customFormat="1" x14ac:dyDescent="0.25"/>
    <row r="618" s="115" customFormat="1" x14ac:dyDescent="0.25"/>
    <row r="619" s="115" customFormat="1" x14ac:dyDescent="0.25"/>
    <row r="620" s="115" customFormat="1" x14ac:dyDescent="0.25"/>
    <row r="621" s="115" customFormat="1" x14ac:dyDescent="0.25"/>
    <row r="622" s="115" customFormat="1" x14ac:dyDescent="0.25"/>
    <row r="623" s="115" customFormat="1" x14ac:dyDescent="0.25"/>
    <row r="624" s="115" customFormat="1" x14ac:dyDescent="0.25"/>
    <row r="625" s="115" customFormat="1" x14ac:dyDescent="0.25"/>
    <row r="626" s="115" customFormat="1" x14ac:dyDescent="0.25"/>
    <row r="627" s="115" customFormat="1" x14ac:dyDescent="0.25"/>
    <row r="628" s="115" customFormat="1" x14ac:dyDescent="0.25"/>
    <row r="629" s="115" customFormat="1" x14ac:dyDescent="0.25"/>
    <row r="630" s="115" customFormat="1" x14ac:dyDescent="0.25"/>
    <row r="631" s="115" customFormat="1" x14ac:dyDescent="0.25"/>
    <row r="632" s="115" customFormat="1" x14ac:dyDescent="0.25"/>
    <row r="633" s="115" customFormat="1" x14ac:dyDescent="0.25"/>
    <row r="634" s="115" customFormat="1" x14ac:dyDescent="0.25"/>
    <row r="635" s="115" customFormat="1" x14ac:dyDescent="0.25"/>
    <row r="636" s="115" customFormat="1" x14ac:dyDescent="0.25"/>
    <row r="637" s="115" customFormat="1" x14ac:dyDescent="0.25"/>
    <row r="638" s="115" customFormat="1" x14ac:dyDescent="0.25"/>
    <row r="639" s="115" customFormat="1" x14ac:dyDescent="0.25"/>
    <row r="640" s="115" customFormat="1" x14ac:dyDescent="0.25"/>
    <row r="641" s="115" customFormat="1" x14ac:dyDescent="0.25"/>
    <row r="642" s="115" customFormat="1" x14ac:dyDescent="0.25"/>
    <row r="643" s="115" customFormat="1" x14ac:dyDescent="0.25"/>
    <row r="644" s="115" customFormat="1" x14ac:dyDescent="0.25"/>
    <row r="645" s="115" customFormat="1" x14ac:dyDescent="0.25"/>
    <row r="646" s="115" customFormat="1" x14ac:dyDescent="0.25"/>
    <row r="647" s="115" customFormat="1" x14ac:dyDescent="0.25"/>
    <row r="648" s="115" customFormat="1" x14ac:dyDescent="0.25"/>
    <row r="649" s="115" customFormat="1" x14ac:dyDescent="0.25"/>
    <row r="650" s="115" customFormat="1" x14ac:dyDescent="0.25"/>
    <row r="651" s="115" customFormat="1" x14ac:dyDescent="0.25"/>
    <row r="652" s="115" customFormat="1" x14ac:dyDescent="0.25"/>
    <row r="653" s="115" customFormat="1" x14ac:dyDescent="0.25"/>
    <row r="654" s="115" customFormat="1" x14ac:dyDescent="0.25"/>
    <row r="655" s="115" customFormat="1" x14ac:dyDescent="0.25"/>
    <row r="656" s="115" customFormat="1" x14ac:dyDescent="0.25"/>
    <row r="657" s="115" customFormat="1" x14ac:dyDescent="0.25"/>
    <row r="658" s="115" customFormat="1" x14ac:dyDescent="0.25"/>
    <row r="659" s="115" customFormat="1" x14ac:dyDescent="0.25"/>
    <row r="660" s="115" customFormat="1" x14ac:dyDescent="0.25"/>
    <row r="661" s="115" customFormat="1" x14ac:dyDescent="0.25"/>
    <row r="662" s="115" customFormat="1" x14ac:dyDescent="0.25"/>
    <row r="663" s="115" customFormat="1" x14ac:dyDescent="0.25"/>
    <row r="664" s="115" customFormat="1" x14ac:dyDescent="0.25"/>
    <row r="665" s="115" customFormat="1" x14ac:dyDescent="0.25"/>
    <row r="666" s="115" customFormat="1" x14ac:dyDescent="0.25"/>
    <row r="667" s="115" customFormat="1" x14ac:dyDescent="0.25"/>
    <row r="668" s="115" customFormat="1" x14ac:dyDescent="0.25"/>
    <row r="669" s="115" customFormat="1" x14ac:dyDescent="0.25"/>
    <row r="670" s="115" customFormat="1" x14ac:dyDescent="0.25"/>
    <row r="671" s="115" customFormat="1" x14ac:dyDescent="0.25"/>
    <row r="672" s="115" customFormat="1" x14ac:dyDescent="0.25"/>
    <row r="673" s="115" customFormat="1" x14ac:dyDescent="0.25"/>
    <row r="674" s="115" customFormat="1" x14ac:dyDescent="0.25"/>
    <row r="675" s="115" customFormat="1" x14ac:dyDescent="0.25"/>
    <row r="676" s="115" customFormat="1" x14ac:dyDescent="0.25"/>
    <row r="677" s="115" customFormat="1" x14ac:dyDescent="0.25"/>
    <row r="678" s="115" customFormat="1" x14ac:dyDescent="0.25"/>
    <row r="679" s="115" customFormat="1" x14ac:dyDescent="0.25"/>
    <row r="680" s="115" customFormat="1" x14ac:dyDescent="0.25"/>
    <row r="681" s="115" customFormat="1" x14ac:dyDescent="0.25"/>
    <row r="682" s="115" customFormat="1" x14ac:dyDescent="0.25"/>
    <row r="683" s="115" customFormat="1" x14ac:dyDescent="0.25"/>
    <row r="684" s="115" customFormat="1" x14ac:dyDescent="0.25"/>
    <row r="685" s="115" customFormat="1" x14ac:dyDescent="0.25"/>
    <row r="686" s="115" customFormat="1" x14ac:dyDescent="0.25"/>
    <row r="687" s="115" customFormat="1" x14ac:dyDescent="0.25"/>
    <row r="688" s="115" customFormat="1" x14ac:dyDescent="0.25"/>
    <row r="689" s="115" customFormat="1" x14ac:dyDescent="0.25"/>
    <row r="690" s="115" customFormat="1" x14ac:dyDescent="0.25"/>
    <row r="691" s="115" customFormat="1" x14ac:dyDescent="0.25"/>
    <row r="692" s="115" customFormat="1" x14ac:dyDescent="0.25"/>
    <row r="693" s="115" customFormat="1" x14ac:dyDescent="0.25"/>
    <row r="694" s="115" customFormat="1" x14ac:dyDescent="0.25"/>
    <row r="695" s="115" customFormat="1" x14ac:dyDescent="0.25"/>
    <row r="696" s="115" customFormat="1" x14ac:dyDescent="0.25"/>
    <row r="697" s="115" customFormat="1" x14ac:dyDescent="0.25"/>
    <row r="698" s="115" customFormat="1" x14ac:dyDescent="0.25"/>
    <row r="699" s="115" customFormat="1" x14ac:dyDescent="0.25"/>
    <row r="700" s="115" customFormat="1" x14ac:dyDescent="0.25"/>
    <row r="701" s="115" customFormat="1" x14ac:dyDescent="0.25"/>
    <row r="702" s="115" customFormat="1" x14ac:dyDescent="0.25"/>
    <row r="703" s="115" customFormat="1" x14ac:dyDescent="0.25"/>
    <row r="704" s="115" customFormat="1" x14ac:dyDescent="0.25"/>
    <row r="705" s="115" customFormat="1" x14ac:dyDescent="0.25"/>
    <row r="706" s="115" customFormat="1" x14ac:dyDescent="0.25"/>
    <row r="707" s="115" customFormat="1" x14ac:dyDescent="0.25"/>
    <row r="708" s="115" customFormat="1" x14ac:dyDescent="0.25"/>
    <row r="709" s="115" customFormat="1" x14ac:dyDescent="0.25"/>
    <row r="710" s="115" customFormat="1" x14ac:dyDescent="0.25"/>
    <row r="711" s="115" customFormat="1" x14ac:dyDescent="0.25"/>
    <row r="712" s="115" customFormat="1" x14ac:dyDescent="0.25"/>
    <row r="713" s="115" customFormat="1" x14ac:dyDescent="0.25"/>
    <row r="714" s="115" customFormat="1" x14ac:dyDescent="0.25"/>
    <row r="715" s="115" customFormat="1" x14ac:dyDescent="0.25"/>
    <row r="716" s="115" customFormat="1" x14ac:dyDescent="0.25"/>
    <row r="717" s="115" customFormat="1" x14ac:dyDescent="0.25"/>
    <row r="718" s="115" customFormat="1" x14ac:dyDescent="0.25"/>
    <row r="719" s="115" customFormat="1" x14ac:dyDescent="0.25"/>
    <row r="720" s="115" customFormat="1" x14ac:dyDescent="0.25"/>
    <row r="721" s="115" customFormat="1" x14ac:dyDescent="0.25"/>
    <row r="722" s="115" customFormat="1" x14ac:dyDescent="0.25"/>
    <row r="723" s="115" customFormat="1" x14ac:dyDescent="0.25"/>
    <row r="724" s="115" customFormat="1" x14ac:dyDescent="0.25"/>
    <row r="725" s="115" customFormat="1" x14ac:dyDescent="0.25"/>
    <row r="726" s="115" customFormat="1" x14ac:dyDescent="0.25"/>
    <row r="727" s="115" customFormat="1" x14ac:dyDescent="0.25"/>
    <row r="728" s="115" customFormat="1" x14ac:dyDescent="0.25"/>
    <row r="729" s="115" customFormat="1" x14ac:dyDescent="0.25"/>
    <row r="730" s="115" customFormat="1" x14ac:dyDescent="0.25"/>
    <row r="731" s="115" customFormat="1" x14ac:dyDescent="0.25"/>
    <row r="732" s="115" customFormat="1" x14ac:dyDescent="0.25"/>
    <row r="733" s="115" customFormat="1" x14ac:dyDescent="0.25"/>
    <row r="734" s="115" customFormat="1" x14ac:dyDescent="0.25"/>
    <row r="735" s="115" customFormat="1" x14ac:dyDescent="0.25"/>
    <row r="736" s="115" customFormat="1" x14ac:dyDescent="0.25"/>
    <row r="737" s="115" customFormat="1" x14ac:dyDescent="0.25"/>
    <row r="738" s="115" customFormat="1" x14ac:dyDescent="0.25"/>
    <row r="739" s="115" customFormat="1" x14ac:dyDescent="0.25"/>
    <row r="740" s="115" customFormat="1" x14ac:dyDescent="0.25"/>
    <row r="741" s="115" customFormat="1" x14ac:dyDescent="0.25"/>
    <row r="742" s="115" customFormat="1" x14ac:dyDescent="0.25"/>
    <row r="743" s="115" customFormat="1" x14ac:dyDescent="0.25"/>
    <row r="744" s="115" customFormat="1" x14ac:dyDescent="0.25"/>
    <row r="745" s="115" customFormat="1" x14ac:dyDescent="0.25"/>
    <row r="746" s="115" customFormat="1" x14ac:dyDescent="0.25"/>
    <row r="747" s="115" customFormat="1" x14ac:dyDescent="0.25"/>
    <row r="748" s="115" customFormat="1" x14ac:dyDescent="0.25"/>
    <row r="749" s="115" customFormat="1" x14ac:dyDescent="0.25"/>
    <row r="750" s="115" customFormat="1" x14ac:dyDescent="0.25"/>
    <row r="751" s="115" customFormat="1" x14ac:dyDescent="0.25"/>
    <row r="752" s="115" customFormat="1" x14ac:dyDescent="0.25"/>
    <row r="753" s="115" customFormat="1" x14ac:dyDescent="0.25"/>
    <row r="754" s="115" customFormat="1" x14ac:dyDescent="0.25"/>
    <row r="755" s="115" customFormat="1" x14ac:dyDescent="0.25"/>
    <row r="756" s="115" customFormat="1" x14ac:dyDescent="0.25"/>
    <row r="757" s="115" customFormat="1" x14ac:dyDescent="0.25"/>
    <row r="758" s="115" customFormat="1" x14ac:dyDescent="0.25"/>
    <row r="759" s="115" customFormat="1" x14ac:dyDescent="0.25"/>
    <row r="760" s="115" customFormat="1" x14ac:dyDescent="0.25"/>
    <row r="761" s="115" customFormat="1" x14ac:dyDescent="0.25"/>
    <row r="762" s="115" customFormat="1" x14ac:dyDescent="0.25"/>
    <row r="763" s="115" customFormat="1" x14ac:dyDescent="0.25"/>
    <row r="764" s="115" customFormat="1" x14ac:dyDescent="0.25"/>
    <row r="765" s="115" customFormat="1" x14ac:dyDescent="0.25"/>
    <row r="766" s="115" customFormat="1" x14ac:dyDescent="0.25"/>
    <row r="767" s="115" customFormat="1" x14ac:dyDescent="0.25"/>
    <row r="768" s="115" customFormat="1" x14ac:dyDescent="0.25"/>
    <row r="769" s="115" customFormat="1" x14ac:dyDescent="0.25"/>
    <row r="770" s="115" customFormat="1" x14ac:dyDescent="0.25"/>
    <row r="771" s="115" customFormat="1" x14ac:dyDescent="0.25"/>
    <row r="772" s="115" customFormat="1" x14ac:dyDescent="0.25"/>
    <row r="773" s="115" customFormat="1" x14ac:dyDescent="0.25"/>
    <row r="774" s="115" customFormat="1" x14ac:dyDescent="0.25"/>
    <row r="775" s="115" customFormat="1" x14ac:dyDescent="0.25"/>
    <row r="776" s="115" customFormat="1" x14ac:dyDescent="0.25"/>
    <row r="777" s="115" customFormat="1" x14ac:dyDescent="0.25"/>
    <row r="778" s="115" customFormat="1" x14ac:dyDescent="0.25"/>
    <row r="779" s="115" customFormat="1" x14ac:dyDescent="0.25"/>
    <row r="780" s="115" customFormat="1" x14ac:dyDescent="0.25"/>
    <row r="781" s="115" customFormat="1" x14ac:dyDescent="0.25"/>
    <row r="782" s="115" customFormat="1" x14ac:dyDescent="0.25"/>
    <row r="783" s="115" customFormat="1" x14ac:dyDescent="0.25"/>
    <row r="784" s="115" customFormat="1" x14ac:dyDescent="0.25"/>
    <row r="785" s="115" customFormat="1" x14ac:dyDescent="0.25"/>
    <row r="786" s="115" customFormat="1" x14ac:dyDescent="0.25"/>
    <row r="787" s="115" customFormat="1" x14ac:dyDescent="0.25"/>
    <row r="788" s="115" customFormat="1" x14ac:dyDescent="0.25"/>
    <row r="789" s="115" customFormat="1" x14ac:dyDescent="0.25"/>
    <row r="790" s="115" customFormat="1" x14ac:dyDescent="0.25"/>
    <row r="791" s="115" customFormat="1" x14ac:dyDescent="0.25"/>
    <row r="792" s="115" customFormat="1" x14ac:dyDescent="0.25"/>
    <row r="793" s="115" customFormat="1" x14ac:dyDescent="0.25"/>
    <row r="794" s="115" customFormat="1" x14ac:dyDescent="0.25"/>
    <row r="795" s="115" customFormat="1" x14ac:dyDescent="0.25"/>
    <row r="796" s="115" customFormat="1" x14ac:dyDescent="0.25"/>
    <row r="797" s="115" customFormat="1" x14ac:dyDescent="0.25"/>
    <row r="798" s="115" customFormat="1" x14ac:dyDescent="0.25"/>
    <row r="799" s="115" customFormat="1" x14ac:dyDescent="0.25"/>
    <row r="800" s="115" customFormat="1" x14ac:dyDescent="0.25"/>
    <row r="801" s="115" customFormat="1" x14ac:dyDescent="0.25"/>
    <row r="802" s="115" customFormat="1" x14ac:dyDescent="0.25"/>
    <row r="803" s="115" customFormat="1" x14ac:dyDescent="0.25"/>
    <row r="804" s="115" customFormat="1" x14ac:dyDescent="0.25"/>
    <row r="805" s="115" customFormat="1" x14ac:dyDescent="0.25"/>
    <row r="806" s="115" customFormat="1" x14ac:dyDescent="0.25"/>
    <row r="807" s="115" customFormat="1" x14ac:dyDescent="0.25"/>
    <row r="808" s="115" customFormat="1" x14ac:dyDescent="0.25"/>
    <row r="809" s="115" customFormat="1" x14ac:dyDescent="0.25"/>
    <row r="810" s="115" customFormat="1" x14ac:dyDescent="0.25"/>
    <row r="811" s="115" customFormat="1" x14ac:dyDescent="0.25"/>
    <row r="812" s="115" customFormat="1" x14ac:dyDescent="0.25"/>
    <row r="813" s="115" customFormat="1" x14ac:dyDescent="0.25"/>
    <row r="814" s="115" customFormat="1" x14ac:dyDescent="0.25"/>
    <row r="815" s="115" customFormat="1" x14ac:dyDescent="0.25"/>
    <row r="816" s="115" customFormat="1" x14ac:dyDescent="0.25"/>
    <row r="817" s="115" customFormat="1" x14ac:dyDescent="0.25"/>
    <row r="818" s="115" customFormat="1" x14ac:dyDescent="0.25"/>
    <row r="819" s="115" customFormat="1" x14ac:dyDescent="0.25"/>
    <row r="820" s="115" customFormat="1" x14ac:dyDescent="0.25"/>
    <row r="821" s="115" customFormat="1" x14ac:dyDescent="0.25"/>
    <row r="822" s="115" customFormat="1" x14ac:dyDescent="0.25"/>
    <row r="823" s="115" customFormat="1" x14ac:dyDescent="0.25"/>
    <row r="824" s="115" customFormat="1" x14ac:dyDescent="0.25"/>
    <row r="825" s="115" customFormat="1" x14ac:dyDescent="0.25"/>
    <row r="826" s="115" customFormat="1" x14ac:dyDescent="0.25"/>
    <row r="827" s="115" customFormat="1" x14ac:dyDescent="0.25"/>
    <row r="828" s="115" customFormat="1" x14ac:dyDescent="0.25"/>
    <row r="829" s="115" customFormat="1" x14ac:dyDescent="0.25"/>
    <row r="830" s="115" customFormat="1" x14ac:dyDescent="0.25"/>
    <row r="831" s="115" customFormat="1" x14ac:dyDescent="0.25"/>
    <row r="832" s="115" customFormat="1" x14ac:dyDescent="0.25"/>
    <row r="833" s="115" customFormat="1" x14ac:dyDescent="0.25"/>
    <row r="834" s="115" customFormat="1" x14ac:dyDescent="0.25"/>
    <row r="835" s="115" customFormat="1" x14ac:dyDescent="0.25"/>
    <row r="836" s="115" customFormat="1" x14ac:dyDescent="0.25"/>
    <row r="837" s="115" customFormat="1" x14ac:dyDescent="0.25"/>
    <row r="838" s="115" customFormat="1" x14ac:dyDescent="0.25"/>
    <row r="839" s="115" customFormat="1" x14ac:dyDescent="0.25"/>
    <row r="840" s="115" customFormat="1" x14ac:dyDescent="0.25"/>
    <row r="841" s="115" customFormat="1" x14ac:dyDescent="0.25"/>
    <row r="842" s="115" customFormat="1" x14ac:dyDescent="0.25"/>
    <row r="843" s="115" customFormat="1" x14ac:dyDescent="0.25"/>
    <row r="844" s="115" customFormat="1" x14ac:dyDescent="0.25"/>
    <row r="845" s="115" customFormat="1" x14ac:dyDescent="0.25"/>
    <row r="846" s="115" customFormat="1" x14ac:dyDescent="0.25"/>
    <row r="847" s="115" customFormat="1" x14ac:dyDescent="0.25"/>
    <row r="848" s="115" customFormat="1" x14ac:dyDescent="0.25"/>
    <row r="849" s="115" customFormat="1" x14ac:dyDescent="0.25"/>
    <row r="850" s="115" customFormat="1" x14ac:dyDescent="0.25"/>
    <row r="851" s="115" customFormat="1" x14ac:dyDescent="0.25"/>
    <row r="852" s="115" customFormat="1" x14ac:dyDescent="0.25"/>
    <row r="853" s="115" customFormat="1" x14ac:dyDescent="0.25"/>
    <row r="854" s="115" customFormat="1" x14ac:dyDescent="0.25"/>
    <row r="855" s="115" customFormat="1" x14ac:dyDescent="0.25"/>
    <row r="856" s="115" customFormat="1" x14ac:dyDescent="0.25"/>
    <row r="857" s="115" customFormat="1" x14ac:dyDescent="0.25"/>
    <row r="858" s="115" customFormat="1" x14ac:dyDescent="0.25"/>
    <row r="859" s="115" customFormat="1" x14ac:dyDescent="0.25"/>
    <row r="860" s="115" customFormat="1" x14ac:dyDescent="0.25"/>
    <row r="861" s="115" customFormat="1" x14ac:dyDescent="0.25"/>
    <row r="862" s="115" customFormat="1" x14ac:dyDescent="0.25"/>
    <row r="863" s="115" customFormat="1" x14ac:dyDescent="0.25"/>
    <row r="864" s="115" customFormat="1" x14ac:dyDescent="0.25"/>
    <row r="865" s="115" customFormat="1" x14ac:dyDescent="0.25"/>
    <row r="866" s="115" customFormat="1" x14ac:dyDescent="0.25"/>
    <row r="867" s="115" customFormat="1" x14ac:dyDescent="0.25"/>
    <row r="868" s="115" customFormat="1" x14ac:dyDescent="0.25"/>
    <row r="869" s="115" customFormat="1" x14ac:dyDescent="0.25"/>
    <row r="870" s="115" customFormat="1" x14ac:dyDescent="0.25"/>
    <row r="871" s="115" customFormat="1" x14ac:dyDescent="0.25"/>
    <row r="872" s="115" customFormat="1" x14ac:dyDescent="0.25"/>
    <row r="873" s="115" customFormat="1" x14ac:dyDescent="0.25"/>
    <row r="874" s="115" customFormat="1" x14ac:dyDescent="0.25"/>
    <row r="875" s="115" customFormat="1" x14ac:dyDescent="0.25"/>
    <row r="876" s="115" customFormat="1" x14ac:dyDescent="0.25"/>
    <row r="877" s="115" customFormat="1" x14ac:dyDescent="0.25"/>
    <row r="878" s="115" customFormat="1" x14ac:dyDescent="0.25"/>
    <row r="879" s="115" customFormat="1" x14ac:dyDescent="0.25"/>
    <row r="880" s="115" customFormat="1" x14ac:dyDescent="0.25"/>
    <row r="881" s="115" customFormat="1" x14ac:dyDescent="0.25"/>
    <row r="882" s="115" customFormat="1" x14ac:dyDescent="0.25"/>
    <row r="883" s="115" customFormat="1" x14ac:dyDescent="0.25"/>
    <row r="884" s="115" customFormat="1" x14ac:dyDescent="0.25"/>
    <row r="885" s="115" customFormat="1" x14ac:dyDescent="0.25"/>
    <row r="886" s="115" customFormat="1" x14ac:dyDescent="0.25"/>
    <row r="887" s="115" customFormat="1" x14ac:dyDescent="0.25"/>
    <row r="888" s="115" customFormat="1" x14ac:dyDescent="0.25"/>
    <row r="889" s="115" customFormat="1" x14ac:dyDescent="0.25"/>
    <row r="890" s="115" customFormat="1" x14ac:dyDescent="0.25"/>
    <row r="891" s="115" customFormat="1" x14ac:dyDescent="0.25"/>
    <row r="892" s="115" customFormat="1" x14ac:dyDescent="0.25"/>
    <row r="893" s="115" customFormat="1" x14ac:dyDescent="0.25"/>
    <row r="894" s="115" customFormat="1" x14ac:dyDescent="0.25"/>
    <row r="895" s="115" customFormat="1" x14ac:dyDescent="0.25"/>
    <row r="896" s="115" customFormat="1" x14ac:dyDescent="0.25"/>
    <row r="897" s="115" customFormat="1" x14ac:dyDescent="0.25"/>
    <row r="898" s="115" customFormat="1" x14ac:dyDescent="0.25"/>
    <row r="899" s="115" customFormat="1" x14ac:dyDescent="0.25"/>
    <row r="900" s="115" customFormat="1" x14ac:dyDescent="0.25"/>
    <row r="901" s="115" customFormat="1" x14ac:dyDescent="0.25"/>
    <row r="902" s="115" customFormat="1" x14ac:dyDescent="0.25"/>
    <row r="903" s="115" customFormat="1" x14ac:dyDescent="0.25"/>
    <row r="904" s="115" customFormat="1" x14ac:dyDescent="0.25"/>
    <row r="905" s="115" customFormat="1" x14ac:dyDescent="0.25"/>
    <row r="906" s="115" customFormat="1" x14ac:dyDescent="0.25"/>
    <row r="907" s="115" customFormat="1" x14ac:dyDescent="0.25"/>
    <row r="908" s="115" customFormat="1" x14ac:dyDescent="0.25"/>
    <row r="909" s="115" customFormat="1" x14ac:dyDescent="0.25"/>
    <row r="910" s="115" customFormat="1" x14ac:dyDescent="0.25"/>
    <row r="911" s="115" customFormat="1" x14ac:dyDescent="0.25"/>
    <row r="912" s="115" customFormat="1" x14ac:dyDescent="0.25"/>
    <row r="913" s="115" customFormat="1" x14ac:dyDescent="0.25"/>
    <row r="914" s="115" customFormat="1" x14ac:dyDescent="0.25"/>
    <row r="915" s="115" customFormat="1" x14ac:dyDescent="0.25"/>
    <row r="916" s="115" customFormat="1" x14ac:dyDescent="0.25"/>
    <row r="917" s="115" customFormat="1" x14ac:dyDescent="0.25"/>
    <row r="918" s="115" customFormat="1" x14ac:dyDescent="0.25"/>
    <row r="919" s="115" customFormat="1" x14ac:dyDescent="0.25"/>
    <row r="920" s="115" customFormat="1" x14ac:dyDescent="0.25"/>
    <row r="921" s="115" customFormat="1" x14ac:dyDescent="0.25"/>
    <row r="922" s="115" customFormat="1" x14ac:dyDescent="0.25"/>
    <row r="923" s="115" customFormat="1" x14ac:dyDescent="0.25"/>
    <row r="924" s="115" customFormat="1" x14ac:dyDescent="0.25"/>
    <row r="925" s="115" customFormat="1" x14ac:dyDescent="0.25"/>
    <row r="926" s="115" customFormat="1" x14ac:dyDescent="0.25"/>
    <row r="927" s="115" customFormat="1" x14ac:dyDescent="0.25"/>
    <row r="928" s="115" customFormat="1" x14ac:dyDescent="0.25"/>
    <row r="929" s="115" customFormat="1" x14ac:dyDescent="0.25"/>
    <row r="930" s="115" customFormat="1" x14ac:dyDescent="0.25"/>
    <row r="931" s="115" customFormat="1" x14ac:dyDescent="0.25"/>
    <row r="932" s="115" customFormat="1" x14ac:dyDescent="0.25"/>
  </sheetData>
  <mergeCells count="55">
    <mergeCell ref="E77:L79"/>
    <mergeCell ref="C26:O31"/>
    <mergeCell ref="C33:O34"/>
    <mergeCell ref="E36:L37"/>
    <mergeCell ref="E38:L40"/>
    <mergeCell ref="C43:E45"/>
    <mergeCell ref="F43:H45"/>
    <mergeCell ref="I43:K45"/>
    <mergeCell ref="L43:O45"/>
    <mergeCell ref="C42:O42"/>
    <mergeCell ref="C61:O61"/>
    <mergeCell ref="C62:E64"/>
    <mergeCell ref="F62:H64"/>
    <mergeCell ref="I62:K64"/>
    <mergeCell ref="L62:O64"/>
    <mergeCell ref="C67:O70"/>
    <mergeCell ref="H17:I19"/>
    <mergeCell ref="L17:M19"/>
    <mergeCell ref="C22:E23"/>
    <mergeCell ref="F22:H23"/>
    <mergeCell ref="L22:O23"/>
    <mergeCell ref="C21:O21"/>
    <mergeCell ref="I22:K23"/>
    <mergeCell ref="A1:AC1"/>
    <mergeCell ref="C48:O51"/>
    <mergeCell ref="C53:O54"/>
    <mergeCell ref="C57:C59"/>
    <mergeCell ref="E57:E59"/>
    <mergeCell ref="G57:G59"/>
    <mergeCell ref="I57:I59"/>
    <mergeCell ref="K57:K59"/>
    <mergeCell ref="M57:M59"/>
    <mergeCell ref="O57:O59"/>
    <mergeCell ref="C7:O10"/>
    <mergeCell ref="C12:O13"/>
    <mergeCell ref="D15:E16"/>
    <mergeCell ref="H15:I16"/>
    <mergeCell ref="L15:M16"/>
    <mergeCell ref="D17:E19"/>
    <mergeCell ref="C72:O73"/>
    <mergeCell ref="E75:L76"/>
    <mergeCell ref="C103:E105"/>
    <mergeCell ref="F103:H105"/>
    <mergeCell ref="I103:K105"/>
    <mergeCell ref="L103:O105"/>
    <mergeCell ref="C81:O81"/>
    <mergeCell ref="C82:E84"/>
    <mergeCell ref="F82:H84"/>
    <mergeCell ref="I82:K84"/>
    <mergeCell ref="L82:O84"/>
    <mergeCell ref="C87:O90"/>
    <mergeCell ref="C92:O93"/>
    <mergeCell ref="E96:L97"/>
    <mergeCell ref="E98:L100"/>
    <mergeCell ref="C102:O10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1AAE3-C518-4DDC-BA9B-AFC8B4E9FC4A}">
  <sheetPr>
    <tabColor theme="2" tint="-0.89999084444715716"/>
  </sheetPr>
  <dimension ref="A1"/>
  <sheetViews>
    <sheetView workbookViewId="0">
      <selection activeCell="J31" sqref="J31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B3957-990E-47AD-A233-19755C414D14}">
  <sheetPr>
    <tabColor theme="5"/>
  </sheetPr>
  <dimension ref="A1:Q47"/>
  <sheetViews>
    <sheetView topLeftCell="A9" zoomScale="96" workbookViewId="0">
      <selection activeCell="B12" sqref="B12"/>
    </sheetView>
  </sheetViews>
  <sheetFormatPr defaultRowHeight="15" x14ac:dyDescent="0.25"/>
  <cols>
    <col min="1" max="1" width="17.42578125" customWidth="1"/>
    <col min="2" max="2" width="49.42578125" customWidth="1"/>
    <col min="3" max="3" width="13.140625" customWidth="1"/>
    <col min="4" max="4" width="20.140625" bestFit="1" customWidth="1"/>
  </cols>
  <sheetData>
    <row r="1" spans="1:17" ht="46.5" x14ac:dyDescent="0.7">
      <c r="A1" s="44" t="s">
        <v>38</v>
      </c>
      <c r="B1" s="44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21" x14ac:dyDescent="0.35">
      <c r="A2" s="168"/>
      <c r="B2" s="169"/>
      <c r="C2" s="5"/>
      <c r="D2" s="6"/>
      <c r="E2" s="169"/>
      <c r="F2" s="170"/>
      <c r="G2" s="4"/>
      <c r="H2" s="6"/>
      <c r="I2" s="6"/>
      <c r="J2" s="6"/>
      <c r="K2" s="6"/>
      <c r="L2" s="7" t="s">
        <v>39</v>
      </c>
      <c r="M2" s="6"/>
      <c r="N2" s="6"/>
      <c r="O2" s="6"/>
      <c r="P2" s="6"/>
      <c r="Q2" s="8"/>
    </row>
    <row r="3" spans="1:17" ht="16.5" thickBot="1" x14ac:dyDescent="0.3">
      <c r="A3" s="9"/>
      <c r="B3" s="10" t="s">
        <v>40</v>
      </c>
      <c r="C3" s="51" t="s">
        <v>41</v>
      </c>
      <c r="D3" s="43"/>
      <c r="E3" s="166"/>
      <c r="F3" s="167"/>
      <c r="G3" s="9"/>
      <c r="H3" s="3"/>
      <c r="I3" s="3"/>
      <c r="J3" s="3"/>
      <c r="K3" s="3"/>
      <c r="L3" s="3"/>
      <c r="M3" s="3"/>
      <c r="N3" s="3"/>
      <c r="O3" s="3"/>
      <c r="P3" s="3"/>
      <c r="Q3" s="13"/>
    </row>
    <row r="4" spans="1:17" ht="15.75" x14ac:dyDescent="0.25">
      <c r="A4" s="9"/>
      <c r="B4" s="45"/>
      <c r="C4" s="46"/>
      <c r="D4" s="43"/>
      <c r="E4" s="166"/>
      <c r="F4" s="167"/>
      <c r="G4" s="9"/>
      <c r="H4" s="3"/>
      <c r="I4" s="3"/>
      <c r="J4" s="3"/>
      <c r="K4" s="3"/>
      <c r="L4" s="3"/>
      <c r="M4" s="3"/>
      <c r="N4" s="3"/>
      <c r="O4" s="3"/>
      <c r="P4" s="3"/>
      <c r="Q4" s="13"/>
    </row>
    <row r="5" spans="1:17" ht="15.75" x14ac:dyDescent="0.25">
      <c r="A5" s="9"/>
      <c r="B5" s="47" t="s">
        <v>42</v>
      </c>
      <c r="C5" s="48">
        <f>'Workshop Uppsala'!D17</f>
        <v>0</v>
      </c>
      <c r="D5" s="43"/>
      <c r="E5" s="166"/>
      <c r="F5" s="167"/>
      <c r="G5" s="9"/>
      <c r="H5" s="3"/>
      <c r="I5" s="3"/>
      <c r="J5" s="3"/>
      <c r="K5" s="3"/>
      <c r="L5" s="3"/>
      <c r="M5" s="3"/>
      <c r="N5" s="3"/>
      <c r="O5" s="3"/>
      <c r="P5" s="3"/>
      <c r="Q5" s="13"/>
    </row>
    <row r="6" spans="1:17" ht="15.75" x14ac:dyDescent="0.25">
      <c r="A6" s="9"/>
      <c r="B6" s="47"/>
      <c r="C6" s="48"/>
      <c r="D6" s="43"/>
      <c r="E6" s="166"/>
      <c r="F6" s="167"/>
      <c r="G6" s="9"/>
      <c r="H6" s="3"/>
      <c r="I6" s="3"/>
      <c r="J6" s="3"/>
      <c r="K6" s="3"/>
      <c r="L6" s="3"/>
      <c r="M6" s="3"/>
      <c r="N6" s="3"/>
      <c r="O6" s="3"/>
      <c r="P6" s="3"/>
      <c r="Q6" s="13"/>
    </row>
    <row r="7" spans="1:17" ht="15.75" x14ac:dyDescent="0.25">
      <c r="A7" s="9"/>
      <c r="B7" s="47" t="s">
        <v>43</v>
      </c>
      <c r="C7" s="48">
        <f>'Workshop Uppsala'!H17</f>
        <v>0</v>
      </c>
      <c r="D7" s="43"/>
      <c r="E7" s="166"/>
      <c r="F7" s="167"/>
      <c r="G7" s="9"/>
      <c r="H7" s="3"/>
      <c r="I7" s="3"/>
      <c r="J7" s="3"/>
      <c r="K7" s="3"/>
      <c r="L7" s="3"/>
      <c r="M7" s="3"/>
      <c r="N7" s="3"/>
      <c r="O7" s="3"/>
      <c r="P7" s="3"/>
      <c r="Q7" s="13"/>
    </row>
    <row r="8" spans="1:17" ht="15.75" x14ac:dyDescent="0.25">
      <c r="A8" s="9"/>
      <c r="B8" s="47"/>
      <c r="C8" s="48"/>
      <c r="D8" s="43"/>
      <c r="E8" s="166"/>
      <c r="F8" s="167"/>
      <c r="G8" s="3"/>
      <c r="H8" s="3"/>
      <c r="I8" s="3"/>
      <c r="J8" s="3"/>
      <c r="K8" s="3"/>
      <c r="L8" s="3"/>
      <c r="M8" s="3"/>
      <c r="N8" s="3"/>
      <c r="O8" s="3"/>
      <c r="P8" s="3"/>
      <c r="Q8" s="13"/>
    </row>
    <row r="9" spans="1:17" ht="15.75" x14ac:dyDescent="0.25">
      <c r="A9" s="9"/>
      <c r="B9" s="47" t="s">
        <v>44</v>
      </c>
      <c r="C9" s="48">
        <f>'Workshop Uppsala'!L17</f>
        <v>0</v>
      </c>
      <c r="D9" s="43"/>
      <c r="E9" s="166"/>
      <c r="F9" s="167"/>
      <c r="G9" s="9"/>
      <c r="H9" s="3"/>
      <c r="I9" s="3"/>
      <c r="J9" s="3"/>
      <c r="K9" s="3"/>
      <c r="L9" s="3"/>
      <c r="M9" s="3"/>
      <c r="N9" s="3"/>
      <c r="O9" s="3"/>
      <c r="P9" s="3"/>
      <c r="Q9" s="13"/>
    </row>
    <row r="10" spans="1:17" ht="16.5" thickBot="1" x14ac:dyDescent="0.3">
      <c r="A10" s="9"/>
      <c r="B10" s="49"/>
      <c r="C10" s="50"/>
      <c r="D10" s="43"/>
      <c r="E10" s="166"/>
      <c r="F10" s="167"/>
      <c r="G10" s="9"/>
      <c r="H10" s="3"/>
      <c r="I10" s="3"/>
      <c r="J10" s="3"/>
      <c r="K10" s="3"/>
      <c r="L10" s="3"/>
      <c r="M10" s="3"/>
      <c r="N10" s="3"/>
      <c r="O10" s="3"/>
      <c r="P10" s="3"/>
      <c r="Q10" s="13"/>
    </row>
    <row r="11" spans="1:17" ht="15.75" x14ac:dyDescent="0.25">
      <c r="A11" s="52"/>
      <c r="B11" s="53"/>
      <c r="C11" s="54"/>
      <c r="D11" s="43"/>
      <c r="E11" s="166"/>
      <c r="F11" s="167"/>
      <c r="G11" s="9"/>
      <c r="H11" s="3"/>
      <c r="I11" s="3"/>
      <c r="J11" s="3"/>
      <c r="K11" s="3"/>
      <c r="L11" s="3"/>
      <c r="M11" s="3"/>
      <c r="N11" s="3"/>
      <c r="O11" s="3"/>
      <c r="P11" s="3"/>
      <c r="Q11" s="13"/>
    </row>
    <row r="12" spans="1:17" ht="15.75" x14ac:dyDescent="0.25">
      <c r="A12" s="52"/>
      <c r="B12" s="53"/>
      <c r="C12" s="54"/>
      <c r="D12" s="43"/>
      <c r="E12" s="166"/>
      <c r="F12" s="167"/>
      <c r="G12" s="9"/>
      <c r="H12" s="3"/>
      <c r="I12" s="3"/>
      <c r="J12" s="3"/>
      <c r="K12" s="3"/>
      <c r="L12" s="3"/>
      <c r="M12" s="3"/>
      <c r="N12" s="3"/>
      <c r="O12" s="3"/>
      <c r="P12" s="3"/>
      <c r="Q12" s="13"/>
    </row>
    <row r="13" spans="1:17" ht="15.75" x14ac:dyDescent="0.25">
      <c r="A13" s="55"/>
      <c r="B13" s="56"/>
      <c r="C13" s="57"/>
      <c r="D13" s="58"/>
      <c r="E13" s="171"/>
      <c r="F13" s="172"/>
      <c r="G13" s="9"/>
      <c r="H13" s="3"/>
      <c r="I13" s="3"/>
      <c r="J13" s="3"/>
      <c r="K13" s="3"/>
      <c r="L13" s="3"/>
      <c r="M13" s="3"/>
      <c r="N13" s="3"/>
      <c r="O13" s="3"/>
      <c r="P13" s="3"/>
      <c r="Q13" s="13"/>
    </row>
    <row r="14" spans="1:17" ht="15.75" x14ac:dyDescent="0.25">
      <c r="A14" s="59"/>
      <c r="B14" s="60"/>
      <c r="C14" s="61"/>
      <c r="D14" s="62"/>
      <c r="E14" s="169"/>
      <c r="F14" s="170"/>
      <c r="G14" s="3"/>
      <c r="H14" s="3"/>
      <c r="I14" s="3"/>
      <c r="J14" s="3"/>
      <c r="K14" s="3"/>
      <c r="L14" s="3"/>
      <c r="M14" s="3"/>
      <c r="N14" s="3"/>
      <c r="O14" s="3"/>
      <c r="P14" s="3"/>
      <c r="Q14" s="13"/>
    </row>
    <row r="15" spans="1:17" ht="15.75" x14ac:dyDescent="0.25">
      <c r="A15" s="52"/>
      <c r="B15" s="53"/>
      <c r="C15" s="54"/>
      <c r="D15" s="43"/>
      <c r="E15" s="166"/>
      <c r="F15" s="167"/>
      <c r="G15" s="3"/>
      <c r="H15" s="3"/>
      <c r="I15" s="3"/>
      <c r="J15" s="3"/>
      <c r="K15" s="3"/>
      <c r="L15" s="3"/>
      <c r="M15" s="3"/>
      <c r="N15" s="3"/>
      <c r="O15" s="3"/>
      <c r="P15" s="3"/>
      <c r="Q15" s="13"/>
    </row>
    <row r="16" spans="1:17" ht="16.5" thickBot="1" x14ac:dyDescent="0.3">
      <c r="A16" s="52"/>
      <c r="B16" s="21" t="s">
        <v>45</v>
      </c>
      <c r="C16" s="41" t="s">
        <v>46</v>
      </c>
      <c r="D16" s="42" t="s">
        <v>47</v>
      </c>
      <c r="E16" s="166"/>
      <c r="F16" s="167"/>
      <c r="G16" s="3"/>
      <c r="H16" s="3"/>
      <c r="I16" s="3"/>
      <c r="J16" s="3"/>
      <c r="K16" s="3"/>
      <c r="L16" s="3"/>
      <c r="M16" s="3"/>
      <c r="N16" s="3"/>
      <c r="O16" s="3"/>
      <c r="P16" s="3"/>
      <c r="Q16" s="13"/>
    </row>
    <row r="17" spans="1:17" ht="15.75" x14ac:dyDescent="0.25">
      <c r="A17" s="52"/>
      <c r="B17" s="45" t="s">
        <v>48</v>
      </c>
      <c r="C17" s="28">
        <v>54395</v>
      </c>
      <c r="D17" s="64">
        <f>'Cost-savings optimization'!C38</f>
        <v>54395</v>
      </c>
      <c r="E17" s="166"/>
      <c r="F17" s="167"/>
      <c r="G17" s="3"/>
      <c r="H17" s="3"/>
      <c r="I17" s="3"/>
      <c r="J17" s="3"/>
      <c r="K17" s="3"/>
      <c r="L17" s="3"/>
      <c r="M17" s="3"/>
      <c r="N17" s="3"/>
      <c r="O17" s="3"/>
      <c r="P17" s="3"/>
      <c r="Q17" s="13"/>
    </row>
    <row r="18" spans="1:17" ht="15.75" x14ac:dyDescent="0.25">
      <c r="A18" s="52"/>
      <c r="B18" s="22"/>
      <c r="C18" s="29"/>
      <c r="D18" s="65"/>
      <c r="E18" s="166"/>
      <c r="F18" s="167"/>
      <c r="G18" s="3"/>
      <c r="H18" s="3"/>
      <c r="I18" s="3"/>
      <c r="J18" s="3"/>
      <c r="K18" s="3"/>
      <c r="L18" s="3"/>
      <c r="M18" s="3"/>
      <c r="N18" s="3"/>
      <c r="O18" s="3"/>
      <c r="P18" s="3"/>
      <c r="Q18" s="13"/>
    </row>
    <row r="19" spans="1:17" ht="15.75" x14ac:dyDescent="0.25">
      <c r="A19" s="9"/>
      <c r="B19" s="47" t="s">
        <v>49</v>
      </c>
      <c r="C19" s="29">
        <f>'Adoption and reduction'!V23</f>
        <v>3610</v>
      </c>
      <c r="D19" s="65">
        <f>'Cost-savings optimization'!C39</f>
        <v>3610</v>
      </c>
      <c r="E19" s="166"/>
      <c r="F19" s="167"/>
      <c r="G19" s="3"/>
      <c r="H19" s="3"/>
      <c r="I19" s="3"/>
      <c r="J19" s="3"/>
      <c r="K19" s="3"/>
      <c r="L19" s="3"/>
      <c r="M19" s="3"/>
      <c r="N19" s="3"/>
      <c r="O19" s="3"/>
      <c r="P19" s="3"/>
      <c r="Q19" s="13"/>
    </row>
    <row r="20" spans="1:17" ht="15.75" x14ac:dyDescent="0.25">
      <c r="A20" s="9"/>
      <c r="B20" s="24"/>
      <c r="C20" s="29"/>
      <c r="D20" s="65"/>
      <c r="E20" s="166"/>
      <c r="F20" s="167"/>
      <c r="G20" s="3"/>
      <c r="H20" s="3"/>
      <c r="I20" s="3"/>
      <c r="J20" s="3"/>
      <c r="K20" s="3"/>
      <c r="L20" s="3"/>
      <c r="M20" s="3"/>
      <c r="N20" s="3"/>
      <c r="O20" s="3"/>
      <c r="P20" s="3"/>
      <c r="Q20" s="13"/>
    </row>
    <row r="21" spans="1:17" ht="15.75" x14ac:dyDescent="0.25">
      <c r="A21" s="9"/>
      <c r="B21" s="47" t="s">
        <v>50</v>
      </c>
      <c r="C21" s="29">
        <f>'Adoption and reduction'!V24</f>
        <v>0</v>
      </c>
      <c r="D21" s="65">
        <f>'Cost-savings optimization'!C40</f>
        <v>0</v>
      </c>
      <c r="E21" s="166"/>
      <c r="F21" s="167"/>
      <c r="G21" s="3"/>
      <c r="H21" s="3"/>
      <c r="I21" s="3"/>
      <c r="J21" s="3"/>
      <c r="K21" s="3"/>
      <c r="L21" s="3"/>
      <c r="M21" s="3"/>
      <c r="N21" s="3"/>
      <c r="O21" s="3"/>
      <c r="P21" s="3"/>
      <c r="Q21" s="13"/>
    </row>
    <row r="22" spans="1:17" ht="15.75" x14ac:dyDescent="0.25">
      <c r="A22" s="9"/>
      <c r="B22" s="24"/>
      <c r="C22" s="29"/>
      <c r="D22" s="65"/>
      <c r="E22" s="166"/>
      <c r="F22" s="167"/>
      <c r="G22" s="3"/>
      <c r="H22" s="3"/>
      <c r="I22" s="3"/>
      <c r="J22" s="3"/>
      <c r="K22" s="3"/>
      <c r="L22" s="3"/>
      <c r="M22" s="3"/>
      <c r="N22" s="3"/>
      <c r="O22" s="3"/>
      <c r="P22" s="3"/>
      <c r="Q22" s="13"/>
    </row>
    <row r="23" spans="1:17" ht="15.75" x14ac:dyDescent="0.25">
      <c r="A23" s="9"/>
      <c r="B23" s="47" t="s">
        <v>51</v>
      </c>
      <c r="C23" s="29">
        <f>'Adoption and reduction'!V26</f>
        <v>797</v>
      </c>
      <c r="D23" s="65">
        <f>'Cost-savings optimization'!C41</f>
        <v>797</v>
      </c>
      <c r="E23" s="166"/>
      <c r="F23" s="167"/>
      <c r="G23" s="3"/>
      <c r="H23" s="3"/>
      <c r="I23" s="3"/>
      <c r="J23" s="3"/>
      <c r="K23" s="3"/>
      <c r="L23" s="3"/>
      <c r="M23" s="3"/>
      <c r="N23" s="3"/>
      <c r="O23" s="3"/>
      <c r="P23" s="3"/>
      <c r="Q23" s="13"/>
    </row>
    <row r="24" spans="1:17" ht="15.75" x14ac:dyDescent="0.25">
      <c r="A24" s="9"/>
      <c r="B24" s="24"/>
      <c r="C24" s="29"/>
      <c r="D24" s="65"/>
      <c r="E24" s="166"/>
      <c r="F24" s="167"/>
      <c r="G24" s="3"/>
      <c r="H24" s="3"/>
      <c r="I24" s="3"/>
      <c r="J24" s="3"/>
      <c r="K24" s="3"/>
      <c r="L24" s="3"/>
      <c r="M24" s="3"/>
      <c r="N24" s="3"/>
      <c r="O24" s="3"/>
      <c r="P24" s="3"/>
      <c r="Q24" s="13"/>
    </row>
    <row r="25" spans="1:17" ht="15.75" x14ac:dyDescent="0.25">
      <c r="A25" s="9"/>
      <c r="B25" s="47" t="s">
        <v>52</v>
      </c>
      <c r="C25" s="29">
        <f>'Adoption and reduction'!V27</f>
        <v>1567</v>
      </c>
      <c r="D25" s="65">
        <f>'Cost-savings optimization'!C42</f>
        <v>1567</v>
      </c>
      <c r="E25" s="166"/>
      <c r="F25" s="167"/>
      <c r="G25" s="3"/>
      <c r="H25" s="3"/>
      <c r="I25" s="3"/>
      <c r="J25" s="3"/>
      <c r="K25" s="3"/>
      <c r="L25" s="3"/>
      <c r="M25" s="3"/>
      <c r="N25" s="3"/>
      <c r="O25" s="3"/>
      <c r="P25" s="3"/>
      <c r="Q25" s="13"/>
    </row>
    <row r="26" spans="1:17" ht="16.5" thickBot="1" x14ac:dyDescent="0.3">
      <c r="A26" s="9"/>
      <c r="B26" s="25"/>
      <c r="C26" s="30"/>
      <c r="D26" s="66"/>
      <c r="E26" s="166"/>
      <c r="F26" s="167"/>
      <c r="G26" s="3"/>
      <c r="H26" s="3"/>
      <c r="I26" s="3"/>
      <c r="J26" s="3"/>
      <c r="K26" s="3"/>
      <c r="L26" s="3"/>
      <c r="M26" s="3"/>
      <c r="N26" s="3"/>
      <c r="O26" s="3"/>
      <c r="P26" s="3"/>
      <c r="Q26" s="13"/>
    </row>
    <row r="27" spans="1:17" ht="15.75" x14ac:dyDescent="0.25">
      <c r="A27" s="52"/>
      <c r="B27" s="63"/>
      <c r="C27" s="63"/>
      <c r="D27" s="63"/>
      <c r="E27" s="173"/>
      <c r="F27" s="174"/>
      <c r="G27" s="3"/>
      <c r="H27" s="3"/>
      <c r="I27" s="3"/>
      <c r="J27" s="3"/>
      <c r="K27" s="3"/>
      <c r="L27" s="3"/>
      <c r="M27" s="3"/>
      <c r="N27" s="3"/>
      <c r="O27" s="3"/>
      <c r="P27" s="3"/>
      <c r="Q27" s="13"/>
    </row>
    <row r="28" spans="1:17" ht="15.75" x14ac:dyDescent="0.25">
      <c r="A28" s="52"/>
      <c r="B28" s="63"/>
      <c r="C28" s="63"/>
      <c r="D28" s="63"/>
      <c r="E28" s="173"/>
      <c r="F28" s="174"/>
      <c r="G28" s="3"/>
      <c r="H28" s="3"/>
      <c r="I28" s="3"/>
      <c r="J28" s="3"/>
      <c r="K28" s="3"/>
      <c r="L28" s="3"/>
      <c r="M28" s="3"/>
      <c r="N28" s="3"/>
      <c r="O28" s="3"/>
      <c r="P28" s="3"/>
      <c r="Q28" s="13"/>
    </row>
    <row r="29" spans="1:17" ht="15.75" x14ac:dyDescent="0.25">
      <c r="A29" s="52"/>
      <c r="B29" s="63"/>
      <c r="C29" s="63"/>
      <c r="D29" s="63"/>
      <c r="E29" s="173"/>
      <c r="F29" s="174"/>
      <c r="G29" s="3"/>
      <c r="H29" s="3"/>
      <c r="I29" s="3"/>
      <c r="J29" s="3"/>
      <c r="K29" s="3"/>
      <c r="L29" s="3"/>
      <c r="M29" s="3"/>
      <c r="N29" s="3"/>
      <c r="O29" s="3"/>
      <c r="P29" s="3"/>
      <c r="Q29" s="13"/>
    </row>
    <row r="30" spans="1:17" ht="15.75" x14ac:dyDescent="0.25">
      <c r="A30" s="52"/>
      <c r="B30" s="63"/>
      <c r="C30" s="63"/>
      <c r="D30" s="63"/>
      <c r="E30" s="173"/>
      <c r="F30" s="174"/>
      <c r="G30" s="3"/>
      <c r="H30" s="3"/>
      <c r="I30" s="3"/>
      <c r="J30" s="3"/>
      <c r="K30" s="3"/>
      <c r="L30" s="3"/>
      <c r="M30" s="3"/>
      <c r="N30" s="3"/>
      <c r="O30" s="3"/>
      <c r="P30" s="3"/>
      <c r="Q30" s="13"/>
    </row>
    <row r="31" spans="1:17" ht="15.75" x14ac:dyDescent="0.25">
      <c r="A31" s="52"/>
      <c r="B31" s="63"/>
      <c r="C31" s="63"/>
      <c r="D31" s="63"/>
      <c r="E31" s="173"/>
      <c r="F31" s="174"/>
      <c r="G31" s="3"/>
      <c r="H31" s="3"/>
      <c r="I31" s="3"/>
      <c r="J31" s="3"/>
      <c r="K31" s="3"/>
      <c r="L31" s="3"/>
      <c r="M31" s="3"/>
      <c r="N31" s="3"/>
      <c r="O31" s="3"/>
      <c r="P31" s="3"/>
      <c r="Q31" s="13"/>
    </row>
    <row r="32" spans="1:17" ht="15.75" x14ac:dyDescent="0.25">
      <c r="A32" s="52"/>
      <c r="B32" s="63"/>
      <c r="C32" s="63"/>
      <c r="D32" s="63"/>
      <c r="E32" s="173"/>
      <c r="F32" s="174"/>
      <c r="G32" s="3"/>
      <c r="H32" s="3"/>
      <c r="I32" s="3"/>
      <c r="J32" s="3"/>
      <c r="K32" s="3"/>
      <c r="L32" s="3"/>
      <c r="M32" s="3"/>
      <c r="N32" s="3"/>
      <c r="O32" s="3"/>
      <c r="P32" s="3"/>
      <c r="Q32" s="13"/>
    </row>
    <row r="33" spans="1:17" ht="15.75" x14ac:dyDescent="0.25">
      <c r="A33" s="52"/>
      <c r="B33" s="63"/>
      <c r="C33" s="63"/>
      <c r="D33" s="63"/>
      <c r="E33" s="173"/>
      <c r="F33" s="174"/>
      <c r="G33" s="3"/>
      <c r="H33" s="3"/>
      <c r="I33" s="3"/>
      <c r="J33" s="3"/>
      <c r="K33" s="3"/>
      <c r="L33" s="3"/>
      <c r="M33" s="3"/>
      <c r="N33" s="3"/>
      <c r="O33" s="3"/>
      <c r="P33" s="3"/>
      <c r="Q33" s="13"/>
    </row>
    <row r="34" spans="1:17" ht="15.75" x14ac:dyDescent="0.25">
      <c r="A34" s="52"/>
      <c r="B34" s="43"/>
      <c r="C34" s="43"/>
      <c r="D34" s="43"/>
      <c r="E34" s="173"/>
      <c r="F34" s="174"/>
      <c r="G34" s="3"/>
      <c r="H34" s="3"/>
      <c r="I34" s="3"/>
      <c r="J34" s="3"/>
      <c r="K34" s="3"/>
      <c r="L34" s="3"/>
      <c r="M34" s="3"/>
      <c r="N34" s="3"/>
      <c r="O34" s="3"/>
      <c r="P34" s="3"/>
      <c r="Q34" s="13"/>
    </row>
    <row r="35" spans="1:17" ht="15.75" x14ac:dyDescent="0.25">
      <c r="A35" s="16"/>
      <c r="B35" s="17"/>
      <c r="C35" s="17"/>
      <c r="D35" s="17"/>
      <c r="E35" s="171"/>
      <c r="F35" s="172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8"/>
    </row>
    <row r="36" spans="1:17" ht="15.75" x14ac:dyDescent="0.25">
      <c r="A36" s="169"/>
      <c r="B36" s="169"/>
      <c r="C36" s="3"/>
      <c r="D36" s="3"/>
      <c r="E36" s="169"/>
      <c r="F36" s="169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ht="15.75" x14ac:dyDescent="0.25">
      <c r="A37" s="166"/>
      <c r="B37" s="166"/>
      <c r="C37" s="3"/>
      <c r="D37" s="3"/>
      <c r="E37" s="166"/>
      <c r="F37" s="166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ht="15.75" x14ac:dyDescent="0.25">
      <c r="A38" s="166"/>
      <c r="B38" s="166"/>
      <c r="C38" s="3"/>
      <c r="D38" s="3"/>
      <c r="E38" s="166"/>
      <c r="F38" s="166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ht="15.75" x14ac:dyDescent="0.25">
      <c r="A39" s="166"/>
      <c r="B39" s="166"/>
      <c r="C39" s="3"/>
      <c r="D39" s="3"/>
      <c r="E39" s="166"/>
      <c r="F39" s="166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ht="15.75" x14ac:dyDescent="0.25">
      <c r="A40" s="166"/>
      <c r="B40" s="166"/>
      <c r="C40" s="3"/>
      <c r="D40" s="3"/>
      <c r="E40" s="166"/>
      <c r="F40" s="166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ht="15.75" x14ac:dyDescent="0.25">
      <c r="A41" s="166"/>
      <c r="B41" s="166"/>
      <c r="C41" s="3"/>
      <c r="D41" s="3"/>
      <c r="E41" s="166"/>
      <c r="F41" s="166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ht="15.75" x14ac:dyDescent="0.25">
      <c r="A42" s="166"/>
      <c r="B42" s="166"/>
      <c r="C42" s="3"/>
      <c r="D42" s="3"/>
      <c r="E42" s="166"/>
      <c r="F42" s="166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ht="15.75" x14ac:dyDescent="0.25">
      <c r="A43" s="166"/>
      <c r="B43" s="166"/>
      <c r="C43" s="3"/>
      <c r="D43" s="3"/>
      <c r="E43" s="166"/>
      <c r="F43" s="166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ht="15.75" x14ac:dyDescent="0.25">
      <c r="A44" s="166"/>
      <c r="B44" s="166"/>
      <c r="C44" s="15"/>
      <c r="D44" s="3"/>
      <c r="E44" s="166"/>
      <c r="F44" s="166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ht="15.75" x14ac:dyDescent="0.25">
      <c r="A45" s="166"/>
      <c r="B45" s="166"/>
      <c r="C45" s="3"/>
      <c r="D45" s="3"/>
      <c r="E45" s="166"/>
      <c r="F45" s="166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 ht="15.75" x14ac:dyDescent="0.25">
      <c r="A46" s="166"/>
      <c r="B46" s="166"/>
      <c r="C46" s="15"/>
      <c r="D46" s="3"/>
      <c r="E46" s="166"/>
      <c r="F46" s="166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ht="15.75" x14ac:dyDescent="0.25">
      <c r="A47" s="166"/>
      <c r="B47" s="166"/>
      <c r="C47" s="15"/>
      <c r="D47" s="3"/>
      <c r="E47" s="166"/>
      <c r="F47" s="166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</sheetData>
  <mergeCells count="59">
    <mergeCell ref="A45:B45"/>
    <mergeCell ref="E45:F45"/>
    <mergeCell ref="A46:B46"/>
    <mergeCell ref="E46:F46"/>
    <mergeCell ref="A47:B47"/>
    <mergeCell ref="E47:F47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36:B36"/>
    <mergeCell ref="E36:F36"/>
    <mergeCell ref="A37:B37"/>
    <mergeCell ref="E37:F37"/>
    <mergeCell ref="A38:B38"/>
    <mergeCell ref="E38:F38"/>
    <mergeCell ref="E35:F35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19:F19"/>
    <mergeCell ref="E20:F20"/>
    <mergeCell ref="E21:F21"/>
    <mergeCell ref="E22:F22"/>
    <mergeCell ref="E23:F23"/>
    <mergeCell ref="E18:F18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6:F6"/>
    <mergeCell ref="A2:B2"/>
    <mergeCell ref="E2:F2"/>
    <mergeCell ref="E3:F3"/>
    <mergeCell ref="E4:F4"/>
    <mergeCell ref="E5:F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80B69-9922-4152-9D64-A5E18DA390A2}">
  <sheetPr>
    <tabColor theme="5"/>
  </sheetPr>
  <dimension ref="A1:V47"/>
  <sheetViews>
    <sheetView tabSelected="1" topLeftCell="A9" zoomScale="87" workbookViewId="0">
      <selection activeCell="C17" sqref="C17"/>
    </sheetView>
  </sheetViews>
  <sheetFormatPr defaultRowHeight="15" x14ac:dyDescent="0.25"/>
  <cols>
    <col min="1" max="1" width="17.42578125" customWidth="1"/>
    <col min="2" max="2" width="49.42578125" customWidth="1"/>
    <col min="3" max="3" width="13.140625" customWidth="1"/>
    <col min="4" max="4" width="18.140625" bestFit="1" customWidth="1"/>
    <col min="6" max="6" width="14.42578125" customWidth="1"/>
    <col min="7" max="7" width="6" customWidth="1"/>
  </cols>
  <sheetData>
    <row r="1" spans="1:18" ht="46.5" x14ac:dyDescent="0.7">
      <c r="A1" s="19" t="s">
        <v>38</v>
      </c>
      <c r="B1" s="19"/>
      <c r="C1" s="2"/>
      <c r="D1" s="2"/>
      <c r="E1" s="20"/>
      <c r="F1" s="20"/>
      <c r="G1" s="20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21" x14ac:dyDescent="0.35">
      <c r="A2" s="168"/>
      <c r="B2" s="169"/>
      <c r="C2" s="5"/>
      <c r="D2" s="6"/>
      <c r="E2" s="169"/>
      <c r="F2" s="169"/>
      <c r="G2" s="169"/>
      <c r="H2" s="4"/>
      <c r="I2" s="6"/>
      <c r="J2" s="6"/>
      <c r="K2" s="6"/>
      <c r="L2" s="6"/>
      <c r="M2" s="7" t="s">
        <v>39</v>
      </c>
      <c r="N2" s="6"/>
      <c r="O2" s="6"/>
      <c r="P2" s="6"/>
      <c r="Q2" s="6"/>
      <c r="R2" s="8"/>
    </row>
    <row r="3" spans="1:18" ht="16.5" thickBot="1" x14ac:dyDescent="0.3">
      <c r="A3" s="9"/>
      <c r="B3" s="10" t="s">
        <v>53</v>
      </c>
      <c r="C3" s="11" t="s">
        <v>41</v>
      </c>
      <c r="D3" s="12"/>
      <c r="E3" s="175"/>
      <c r="F3" s="166"/>
      <c r="G3" s="166"/>
      <c r="H3" s="9"/>
      <c r="I3" s="3"/>
      <c r="J3" s="3"/>
      <c r="K3" s="3"/>
      <c r="L3" s="3"/>
      <c r="M3" s="3"/>
      <c r="N3" s="3"/>
      <c r="O3" s="3"/>
      <c r="P3" s="3"/>
      <c r="Q3" s="3"/>
      <c r="R3" s="13"/>
    </row>
    <row r="4" spans="1:18" ht="15.75" x14ac:dyDescent="0.25">
      <c r="A4" s="9"/>
      <c r="B4" s="45" t="s">
        <v>48</v>
      </c>
      <c r="C4" s="75">
        <f>'Workshop Uppsala'!O57</f>
        <v>0</v>
      </c>
      <c r="D4" s="68" t="s">
        <v>54</v>
      </c>
      <c r="E4" s="166"/>
      <c r="F4" s="166"/>
      <c r="G4" s="166"/>
      <c r="H4" s="9"/>
      <c r="I4" s="3"/>
      <c r="J4" s="3"/>
      <c r="K4" s="3"/>
      <c r="L4" s="3"/>
      <c r="M4" s="3"/>
      <c r="N4" s="3"/>
      <c r="O4" s="3"/>
      <c r="P4" s="3"/>
      <c r="Q4" s="3"/>
      <c r="R4" s="13"/>
    </row>
    <row r="5" spans="1:18" ht="15.75" x14ac:dyDescent="0.25">
      <c r="A5" s="9"/>
      <c r="B5" s="47"/>
      <c r="C5" s="76"/>
      <c r="D5" s="69"/>
      <c r="E5" s="166"/>
      <c r="F5" s="166"/>
      <c r="G5" s="166"/>
      <c r="H5" s="9"/>
      <c r="I5" s="3"/>
      <c r="J5" s="3"/>
      <c r="K5" s="3"/>
      <c r="L5" s="3"/>
      <c r="M5" s="3"/>
      <c r="N5" s="3"/>
      <c r="O5" s="3"/>
      <c r="P5" s="3"/>
      <c r="Q5" s="3"/>
      <c r="R5" s="13"/>
    </row>
    <row r="6" spans="1:18" ht="15.75" x14ac:dyDescent="0.25">
      <c r="A6" s="9"/>
      <c r="B6" s="47" t="s">
        <v>49</v>
      </c>
      <c r="C6" s="76">
        <f>'Workshop Uppsala'!M57</f>
        <v>0</v>
      </c>
      <c r="D6" s="69" t="s">
        <v>54</v>
      </c>
      <c r="E6" s="166"/>
      <c r="F6" s="166"/>
      <c r="G6" s="166"/>
      <c r="H6" s="9"/>
      <c r="I6" s="3"/>
      <c r="J6" s="3"/>
      <c r="K6" s="3"/>
      <c r="L6" s="3"/>
      <c r="M6" s="3"/>
      <c r="N6" s="3"/>
      <c r="O6" s="3"/>
      <c r="P6" s="3"/>
      <c r="Q6" s="3"/>
      <c r="R6" s="13"/>
    </row>
    <row r="7" spans="1:18" ht="15.75" x14ac:dyDescent="0.25">
      <c r="A7" s="9"/>
      <c r="B7" s="47"/>
      <c r="C7" s="76"/>
      <c r="D7" s="69"/>
      <c r="E7" s="166"/>
      <c r="F7" s="166"/>
      <c r="G7" s="166"/>
      <c r="H7" s="9"/>
      <c r="I7" s="3"/>
      <c r="J7" s="3"/>
      <c r="K7" s="3"/>
      <c r="L7" s="3"/>
      <c r="M7" s="3"/>
      <c r="N7" s="3"/>
      <c r="O7" s="3"/>
      <c r="P7" s="3"/>
      <c r="Q7" s="3"/>
      <c r="R7" s="13"/>
    </row>
    <row r="8" spans="1:18" ht="15.75" x14ac:dyDescent="0.25">
      <c r="A8" s="3"/>
      <c r="B8" s="47" t="s">
        <v>50</v>
      </c>
      <c r="C8" s="76">
        <f>'Workshop Uppsala'!K57</f>
        <v>0</v>
      </c>
      <c r="D8" s="69" t="s">
        <v>54</v>
      </c>
      <c r="E8" s="166"/>
      <c r="F8" s="166"/>
      <c r="G8" s="166"/>
      <c r="H8" s="9"/>
      <c r="I8" s="3"/>
      <c r="J8" s="3"/>
      <c r="K8" s="3"/>
      <c r="L8" s="3"/>
      <c r="M8" s="3"/>
      <c r="N8" s="3"/>
      <c r="O8" s="3"/>
      <c r="P8" s="3"/>
      <c r="Q8" s="3"/>
      <c r="R8" s="13"/>
    </row>
    <row r="9" spans="1:18" ht="15.75" x14ac:dyDescent="0.25">
      <c r="A9" s="9"/>
      <c r="B9" s="47"/>
      <c r="C9" s="76"/>
      <c r="D9" s="69"/>
      <c r="E9" s="166"/>
      <c r="F9" s="166"/>
      <c r="G9" s="166"/>
      <c r="H9" s="9"/>
      <c r="I9" s="3"/>
      <c r="J9" s="3"/>
      <c r="K9" s="3"/>
      <c r="L9" s="3"/>
      <c r="M9" s="3"/>
      <c r="N9" s="3"/>
      <c r="O9" s="3"/>
      <c r="P9" s="3"/>
      <c r="Q9" s="3"/>
      <c r="R9" s="13"/>
    </row>
    <row r="10" spans="1:18" ht="15.75" x14ac:dyDescent="0.25">
      <c r="A10" s="9"/>
      <c r="B10" s="74" t="s">
        <v>55</v>
      </c>
      <c r="C10" s="76">
        <f>'Workshop Uppsala'!I57</f>
        <v>0</v>
      </c>
      <c r="D10" s="69" t="s">
        <v>54</v>
      </c>
      <c r="E10" s="166"/>
      <c r="F10" s="166"/>
      <c r="G10" s="166"/>
      <c r="H10" s="9"/>
      <c r="I10" s="3"/>
      <c r="J10" s="3"/>
      <c r="K10" s="3"/>
      <c r="L10" s="3"/>
      <c r="M10" s="3"/>
      <c r="N10" s="3"/>
      <c r="O10" s="3"/>
      <c r="P10" s="3"/>
      <c r="Q10" s="3"/>
      <c r="R10" s="13"/>
    </row>
    <row r="11" spans="1:18" ht="15.75" x14ac:dyDescent="0.25">
      <c r="A11" s="9"/>
      <c r="B11" s="47"/>
      <c r="C11" s="76"/>
      <c r="D11" s="69"/>
      <c r="E11" s="166"/>
      <c r="F11" s="166"/>
      <c r="G11" s="166"/>
      <c r="H11" s="9"/>
      <c r="I11" s="3"/>
      <c r="J11" s="3"/>
      <c r="K11" s="3"/>
      <c r="L11" s="3"/>
      <c r="M11" s="3"/>
      <c r="N11" s="3"/>
      <c r="O11" s="3"/>
      <c r="P11" s="3"/>
      <c r="Q11" s="3"/>
      <c r="R11" s="13"/>
    </row>
    <row r="12" spans="1:18" ht="15.75" x14ac:dyDescent="0.25">
      <c r="A12" s="9"/>
      <c r="B12" s="47" t="s">
        <v>56</v>
      </c>
      <c r="C12" s="76">
        <f>'Workshop Uppsala'!G57</f>
        <v>0</v>
      </c>
      <c r="D12" s="69" t="s">
        <v>54</v>
      </c>
      <c r="E12" s="166"/>
      <c r="F12" s="166"/>
      <c r="G12" s="166"/>
      <c r="H12" s="9"/>
      <c r="I12" s="3"/>
      <c r="J12" s="3"/>
      <c r="K12" s="3"/>
      <c r="L12" s="3"/>
      <c r="M12" s="3"/>
      <c r="N12" s="3"/>
      <c r="O12" s="3"/>
      <c r="P12" s="3"/>
      <c r="Q12" s="3"/>
      <c r="R12" s="13"/>
    </row>
    <row r="13" spans="1:18" ht="15.75" x14ac:dyDescent="0.25">
      <c r="A13" s="9"/>
      <c r="B13" s="47"/>
      <c r="C13" s="76"/>
      <c r="D13" s="69"/>
      <c r="E13" s="166"/>
      <c r="F13" s="166"/>
      <c r="G13" s="166"/>
      <c r="H13" s="9"/>
      <c r="I13" s="3"/>
      <c r="J13" s="3"/>
      <c r="K13" s="3"/>
      <c r="L13" s="3"/>
      <c r="M13" s="3"/>
      <c r="N13" s="3"/>
      <c r="O13" s="3"/>
      <c r="P13" s="3"/>
      <c r="Q13" s="3"/>
      <c r="R13" s="13"/>
    </row>
    <row r="14" spans="1:18" ht="15.75" x14ac:dyDescent="0.25">
      <c r="A14" s="9"/>
      <c r="B14" s="47" t="s">
        <v>52</v>
      </c>
      <c r="C14" s="76">
        <f>'Workshop Uppsala'!E57</f>
        <v>0</v>
      </c>
      <c r="D14" s="69" t="s">
        <v>54</v>
      </c>
      <c r="E14" s="166"/>
      <c r="F14" s="166"/>
      <c r="G14" s="166"/>
      <c r="H14" s="9"/>
      <c r="I14" s="3"/>
      <c r="J14" s="3"/>
      <c r="K14" s="3"/>
      <c r="L14" s="3"/>
      <c r="M14" s="3"/>
      <c r="N14" s="3"/>
      <c r="O14" s="3"/>
      <c r="P14" s="3"/>
      <c r="Q14" s="3"/>
      <c r="R14" s="13"/>
    </row>
    <row r="15" spans="1:18" ht="15.75" x14ac:dyDescent="0.25">
      <c r="A15" s="9"/>
      <c r="B15" s="70"/>
      <c r="C15" s="77"/>
      <c r="D15" s="71"/>
      <c r="E15" s="166"/>
      <c r="F15" s="166"/>
      <c r="G15" s="166"/>
      <c r="H15" s="9"/>
      <c r="I15" s="3"/>
      <c r="J15" s="3"/>
      <c r="K15" s="3"/>
      <c r="L15" s="3"/>
      <c r="M15" s="3"/>
      <c r="N15" s="3"/>
      <c r="O15" s="3"/>
      <c r="P15" s="3"/>
      <c r="Q15" s="3"/>
      <c r="R15" s="13"/>
    </row>
    <row r="16" spans="1:18" ht="15.75" x14ac:dyDescent="0.25">
      <c r="A16" s="9"/>
      <c r="B16" s="47" t="s">
        <v>57</v>
      </c>
      <c r="C16" s="76">
        <f>'Workshop Uppsala'!C57</f>
        <v>0</v>
      </c>
      <c r="D16" s="69" t="s">
        <v>54</v>
      </c>
      <c r="E16" s="166"/>
      <c r="F16" s="166"/>
      <c r="G16" s="166"/>
      <c r="H16" s="9"/>
      <c r="I16" s="3"/>
      <c r="J16" s="3"/>
      <c r="K16" s="3"/>
      <c r="L16" s="3"/>
      <c r="M16" s="3"/>
      <c r="N16" s="3"/>
      <c r="O16" s="3"/>
      <c r="P16" s="3"/>
      <c r="Q16" s="3"/>
      <c r="R16" s="13"/>
    </row>
    <row r="17" spans="1:22" ht="16.5" thickBot="1" x14ac:dyDescent="0.3">
      <c r="A17" s="9"/>
      <c r="B17" s="73"/>
      <c r="C17" s="78"/>
      <c r="D17" s="72"/>
      <c r="E17" s="166"/>
      <c r="F17" s="166"/>
      <c r="G17" s="166"/>
      <c r="H17" s="9"/>
      <c r="I17" s="3"/>
      <c r="J17" s="3"/>
      <c r="K17" s="3"/>
      <c r="L17" s="3"/>
      <c r="M17" s="3"/>
      <c r="N17" s="3"/>
      <c r="O17" s="3"/>
      <c r="P17" s="3"/>
      <c r="Q17" s="3"/>
      <c r="R17" s="13"/>
    </row>
    <row r="18" spans="1:22" ht="16.5" thickBot="1" x14ac:dyDescent="0.3">
      <c r="A18" s="9"/>
      <c r="B18" s="10"/>
      <c r="C18" s="11"/>
      <c r="D18" s="12"/>
      <c r="E18" s="166"/>
      <c r="F18" s="166"/>
      <c r="G18" s="166"/>
      <c r="H18" s="9"/>
      <c r="I18" s="3"/>
      <c r="J18" s="3"/>
      <c r="K18" s="3"/>
      <c r="L18" s="3"/>
      <c r="M18" s="3"/>
      <c r="N18" s="3"/>
      <c r="O18" s="3"/>
      <c r="P18" s="3"/>
      <c r="Q18" s="3"/>
      <c r="R18" s="13"/>
    </row>
    <row r="19" spans="1:22" ht="16.5" thickBot="1" x14ac:dyDescent="0.3">
      <c r="A19" s="3"/>
      <c r="B19" s="79" t="s">
        <v>58</v>
      </c>
      <c r="C19" s="80">
        <f>'Workshop Uppsala'!E38</f>
        <v>0</v>
      </c>
      <c r="D19" s="81" t="s">
        <v>59</v>
      </c>
      <c r="E19" s="166"/>
      <c r="F19" s="166"/>
      <c r="G19" s="166"/>
      <c r="H19" s="9"/>
      <c r="I19" s="3"/>
      <c r="J19" s="3"/>
      <c r="K19" s="3"/>
      <c r="L19" s="3"/>
      <c r="M19" s="3"/>
      <c r="N19" s="3"/>
      <c r="O19" s="3"/>
      <c r="P19" s="3"/>
      <c r="Q19" s="3"/>
      <c r="R19" s="13"/>
    </row>
    <row r="20" spans="1:22" ht="15.75" x14ac:dyDescent="0.25">
      <c r="A20" s="3"/>
      <c r="B20" s="3"/>
      <c r="C20" s="3"/>
      <c r="D20" s="3"/>
      <c r="E20" s="166"/>
      <c r="F20" s="166"/>
      <c r="G20" s="166"/>
      <c r="H20" s="9"/>
      <c r="I20" s="3"/>
      <c r="J20" s="3"/>
      <c r="K20" s="3"/>
      <c r="L20" s="3"/>
      <c r="M20" s="3"/>
      <c r="N20" s="3"/>
      <c r="O20" s="3"/>
      <c r="P20" s="3"/>
      <c r="Q20" s="3"/>
      <c r="R20" s="13"/>
      <c r="U20" s="111"/>
      <c r="V20" s="112"/>
    </row>
    <row r="21" spans="1:22" ht="15.75" x14ac:dyDescent="0.25">
      <c r="A21" s="3"/>
      <c r="B21" s="3"/>
      <c r="C21" s="3"/>
      <c r="D21" s="3"/>
      <c r="E21" s="166"/>
      <c r="F21" s="166"/>
      <c r="G21" s="166"/>
      <c r="H21" s="9"/>
      <c r="I21" s="3"/>
      <c r="J21" s="3"/>
      <c r="K21" s="3"/>
      <c r="L21" s="3"/>
      <c r="M21" s="3"/>
      <c r="N21" s="3"/>
      <c r="O21" s="3"/>
      <c r="P21" s="3"/>
      <c r="Q21" s="3"/>
      <c r="R21" s="13"/>
      <c r="U21" s="113"/>
      <c r="V21" s="71" t="s">
        <v>60</v>
      </c>
    </row>
    <row r="22" spans="1:22" ht="48.6" customHeight="1" x14ac:dyDescent="0.25">
      <c r="A22" s="4"/>
      <c r="B22" s="67"/>
      <c r="C22" s="6"/>
      <c r="D22" s="84"/>
      <c r="E22" s="176" t="s">
        <v>61</v>
      </c>
      <c r="F22" s="177"/>
      <c r="G22" s="178"/>
      <c r="H22" s="9"/>
      <c r="I22" s="3"/>
      <c r="J22" s="3"/>
      <c r="K22" s="3"/>
      <c r="L22" s="3"/>
      <c r="M22" s="3"/>
      <c r="N22" s="3"/>
      <c r="O22" s="3"/>
      <c r="P22" s="3"/>
      <c r="Q22" s="3"/>
      <c r="R22" s="13"/>
      <c r="U22" s="113">
        <v>50</v>
      </c>
      <c r="V22" s="71">
        <f>1920+52475</f>
        <v>54395</v>
      </c>
    </row>
    <row r="23" spans="1:22" ht="16.5" thickBot="1" x14ac:dyDescent="0.3">
      <c r="A23" s="9"/>
      <c r="B23" s="21" t="s">
        <v>45</v>
      </c>
      <c r="C23" s="27" t="s">
        <v>46</v>
      </c>
      <c r="D23" s="13"/>
      <c r="E23" s="3"/>
      <c r="F23" s="3"/>
      <c r="G23" s="3"/>
      <c r="H23" s="9"/>
      <c r="I23" s="3"/>
      <c r="J23" s="3"/>
      <c r="K23" s="3"/>
      <c r="L23" s="3"/>
      <c r="M23" s="3"/>
      <c r="N23" s="3"/>
      <c r="O23" s="3"/>
      <c r="P23" s="3"/>
      <c r="Q23" s="3"/>
      <c r="R23" s="13"/>
      <c r="U23" s="113">
        <v>25</v>
      </c>
      <c r="V23" s="71">
        <f>1260+1017+1333</f>
        <v>3610</v>
      </c>
    </row>
    <row r="24" spans="1:22" ht="15.75" x14ac:dyDescent="0.25">
      <c r="A24" s="9"/>
      <c r="B24" s="45" t="s">
        <v>48</v>
      </c>
      <c r="C24" s="88">
        <f>'Optimization of waste bins'!D17</f>
        <v>54395</v>
      </c>
      <c r="D24" s="13"/>
      <c r="E24" s="3"/>
      <c r="F24" s="3"/>
      <c r="G24" s="3"/>
      <c r="H24" s="9"/>
      <c r="I24" s="3"/>
      <c r="J24" s="3"/>
      <c r="K24" s="3"/>
      <c r="L24" s="3"/>
      <c r="M24" s="3"/>
      <c r="N24" s="3"/>
      <c r="O24" s="3"/>
      <c r="P24" s="3"/>
      <c r="Q24" s="3"/>
      <c r="R24" s="13"/>
      <c r="U24" s="113">
        <v>12</v>
      </c>
      <c r="V24" s="71">
        <v>0</v>
      </c>
    </row>
    <row r="25" spans="1:22" ht="15.75" x14ac:dyDescent="0.25">
      <c r="A25" s="9"/>
      <c r="B25" s="22"/>
      <c r="C25" s="29"/>
      <c r="D25" s="13"/>
      <c r="E25" s="3"/>
      <c r="F25" s="3"/>
      <c r="G25" s="3"/>
      <c r="H25" s="9"/>
      <c r="I25" s="3"/>
      <c r="J25" s="3"/>
      <c r="K25" s="3"/>
      <c r="L25" s="3"/>
      <c r="M25" s="3"/>
      <c r="N25" s="3"/>
      <c r="O25" s="3"/>
      <c r="P25" s="3"/>
      <c r="Q25" s="3"/>
      <c r="R25" s="13"/>
      <c r="U25" s="113">
        <v>6</v>
      </c>
      <c r="V25" s="71">
        <v>67</v>
      </c>
    </row>
    <row r="26" spans="1:22" ht="15.75" x14ac:dyDescent="0.25">
      <c r="A26" s="9"/>
      <c r="B26" s="47" t="s">
        <v>49</v>
      </c>
      <c r="C26" s="89">
        <f>'Optimization of waste bins'!D19</f>
        <v>3610</v>
      </c>
      <c r="D26" s="13"/>
      <c r="E26" s="3"/>
      <c r="F26" s="3"/>
      <c r="G26" s="3"/>
      <c r="H26" s="9"/>
      <c r="I26" s="3"/>
      <c r="J26" s="3"/>
      <c r="K26" s="3"/>
      <c r="L26" s="3"/>
      <c r="M26" s="3"/>
      <c r="N26" s="3"/>
      <c r="O26" s="3"/>
      <c r="P26" s="3"/>
      <c r="Q26" s="3"/>
      <c r="R26" s="13"/>
      <c r="U26" s="113">
        <v>3</v>
      </c>
      <c r="V26" s="71">
        <f>697+100</f>
        <v>797</v>
      </c>
    </row>
    <row r="27" spans="1:22" ht="15.75" x14ac:dyDescent="0.25">
      <c r="A27" s="9"/>
      <c r="B27" s="22"/>
      <c r="C27" s="29"/>
      <c r="D27" s="13"/>
      <c r="E27" s="3"/>
      <c r="F27" s="3"/>
      <c r="G27" s="3"/>
      <c r="H27" s="9"/>
      <c r="I27" s="3"/>
      <c r="J27" s="3"/>
      <c r="K27" s="3"/>
      <c r="L27" s="3"/>
      <c r="M27" s="3"/>
      <c r="N27" s="3"/>
      <c r="O27" s="3"/>
      <c r="P27" s="3"/>
      <c r="Q27" s="3"/>
      <c r="R27" s="13"/>
      <c r="U27" s="113">
        <v>2</v>
      </c>
      <c r="V27" s="71">
        <f>1567</f>
        <v>1567</v>
      </c>
    </row>
    <row r="28" spans="1:22" ht="16.5" thickBot="1" x14ac:dyDescent="0.3">
      <c r="A28" s="9"/>
      <c r="B28" s="47" t="s">
        <v>50</v>
      </c>
      <c r="C28" s="89">
        <f>'Optimization of waste bins'!D21</f>
        <v>0</v>
      </c>
      <c r="D28" s="13"/>
      <c r="E28" s="3"/>
      <c r="F28" s="3"/>
      <c r="G28" s="3"/>
      <c r="H28" s="9"/>
      <c r="I28" s="3"/>
      <c r="J28" s="3"/>
      <c r="K28" s="3"/>
      <c r="L28" s="3"/>
      <c r="M28" s="3"/>
      <c r="N28" s="3"/>
      <c r="O28" s="3"/>
      <c r="P28" s="3"/>
      <c r="Q28" s="3"/>
      <c r="R28" s="13"/>
      <c r="U28" s="114">
        <v>0.5</v>
      </c>
      <c r="V28" s="72">
        <v>0</v>
      </c>
    </row>
    <row r="29" spans="1:22" ht="15.75" x14ac:dyDescent="0.25">
      <c r="A29" s="9"/>
      <c r="B29" s="22"/>
      <c r="C29" s="29"/>
      <c r="D29" s="13"/>
      <c r="E29" s="3"/>
      <c r="F29" s="3"/>
      <c r="G29" s="3"/>
      <c r="H29" s="9"/>
      <c r="I29" s="3"/>
      <c r="J29" s="3"/>
      <c r="K29" s="3"/>
      <c r="L29" s="3"/>
      <c r="M29" s="3"/>
      <c r="N29" s="3"/>
      <c r="O29" s="3"/>
      <c r="P29" s="3"/>
      <c r="Q29" s="3"/>
      <c r="R29" s="13"/>
    </row>
    <row r="30" spans="1:22" ht="15.75" x14ac:dyDescent="0.25">
      <c r="A30" s="9"/>
      <c r="B30" s="74" t="s">
        <v>55</v>
      </c>
      <c r="C30" s="83">
        <v>67</v>
      </c>
      <c r="D30" s="13"/>
      <c r="E30" s="3"/>
      <c r="F30" s="3"/>
      <c r="G30" s="3"/>
      <c r="H30" s="9"/>
      <c r="I30" s="3"/>
      <c r="J30" s="3"/>
      <c r="K30" s="3"/>
      <c r="L30" s="3"/>
      <c r="M30" s="3"/>
      <c r="N30" s="3"/>
      <c r="O30" s="3"/>
      <c r="P30" s="3"/>
      <c r="Q30" s="3"/>
      <c r="R30" s="13"/>
    </row>
    <row r="31" spans="1:22" ht="15.75" x14ac:dyDescent="0.25">
      <c r="A31" s="9"/>
      <c r="B31" s="22"/>
      <c r="C31" s="29"/>
      <c r="D31" s="13"/>
      <c r="E31" s="3"/>
      <c r="F31" s="3"/>
      <c r="G31" s="3"/>
      <c r="H31" s="9"/>
      <c r="I31" s="3"/>
      <c r="J31" s="3"/>
      <c r="K31" s="3"/>
      <c r="L31" s="3"/>
      <c r="M31" s="3"/>
      <c r="N31" s="3"/>
      <c r="O31" s="3"/>
      <c r="P31" s="3"/>
      <c r="Q31" s="3"/>
      <c r="R31" s="13"/>
    </row>
    <row r="32" spans="1:22" ht="15.75" x14ac:dyDescent="0.25">
      <c r="A32" s="9"/>
      <c r="B32" s="22" t="s">
        <v>51</v>
      </c>
      <c r="C32" s="89">
        <f>'Optimization of waste bins'!D23</f>
        <v>797</v>
      </c>
      <c r="D32" s="13"/>
      <c r="E32" s="3"/>
      <c r="F32" s="3"/>
      <c r="G32" s="3"/>
      <c r="H32" s="9"/>
      <c r="I32" s="3"/>
      <c r="J32" s="3"/>
      <c r="K32" s="3"/>
      <c r="L32" s="3"/>
      <c r="M32" s="3"/>
      <c r="N32" s="3"/>
      <c r="O32" s="3"/>
      <c r="P32" s="3"/>
      <c r="Q32" s="3"/>
      <c r="R32" s="13"/>
    </row>
    <row r="33" spans="1:18" ht="31.5" x14ac:dyDescent="0.5">
      <c r="A33" s="9"/>
      <c r="B33" s="22"/>
      <c r="C33" s="29"/>
      <c r="D33" s="13"/>
      <c r="E33" s="3"/>
      <c r="F33" s="86">
        <f>'Plastic reduction '!C37</f>
        <v>0</v>
      </c>
      <c r="G33" s="3"/>
      <c r="H33" s="9"/>
      <c r="I33" s="3"/>
      <c r="J33" s="3"/>
      <c r="K33" s="3"/>
      <c r="L33" s="3"/>
      <c r="M33" s="3"/>
      <c r="N33" s="3"/>
      <c r="O33" s="3"/>
      <c r="P33" s="3"/>
      <c r="Q33" s="3"/>
      <c r="R33" s="13"/>
    </row>
    <row r="34" spans="1:18" ht="15.75" x14ac:dyDescent="0.25">
      <c r="A34" s="9"/>
      <c r="B34" s="47" t="s">
        <v>52</v>
      </c>
      <c r="C34" s="89">
        <f>'Optimization of waste bins'!D25</f>
        <v>1567</v>
      </c>
      <c r="D34" s="13"/>
      <c r="E34" s="3"/>
      <c r="F34" s="3"/>
      <c r="G34" s="3"/>
      <c r="H34" s="9"/>
      <c r="I34" s="3"/>
      <c r="J34" s="3"/>
      <c r="K34" s="3"/>
      <c r="L34" s="3"/>
      <c r="M34" s="3"/>
      <c r="N34" s="3"/>
      <c r="O34" s="3"/>
      <c r="P34" s="3"/>
      <c r="Q34" s="3"/>
      <c r="R34" s="13"/>
    </row>
    <row r="35" spans="1:18" ht="15.75" x14ac:dyDescent="0.25">
      <c r="A35" s="9"/>
      <c r="B35" s="22"/>
      <c r="C35" s="23"/>
      <c r="D35" s="13"/>
      <c r="E35" s="3"/>
      <c r="F35" s="3"/>
      <c r="G35" s="3"/>
      <c r="H35" s="9"/>
      <c r="I35" s="3"/>
      <c r="J35" s="3"/>
      <c r="K35" s="3"/>
      <c r="L35" s="3"/>
      <c r="M35" s="3"/>
      <c r="N35" s="3"/>
      <c r="O35" s="3"/>
      <c r="P35" s="3"/>
      <c r="Q35" s="3"/>
      <c r="R35" s="13"/>
    </row>
    <row r="36" spans="1:18" ht="16.5" thickBot="1" x14ac:dyDescent="0.3">
      <c r="A36" s="9"/>
      <c r="B36" s="82" t="s">
        <v>57</v>
      </c>
      <c r="C36" s="26">
        <v>0</v>
      </c>
      <c r="D36" s="13"/>
      <c r="E36" s="3"/>
      <c r="F36" s="3"/>
      <c r="G36" s="3"/>
      <c r="H36" s="9"/>
      <c r="I36" s="3"/>
      <c r="J36" s="3"/>
      <c r="K36" s="3"/>
      <c r="L36" s="3"/>
      <c r="M36" s="3"/>
      <c r="N36" s="3"/>
      <c r="O36" s="3"/>
      <c r="P36" s="3"/>
      <c r="Q36" s="3"/>
      <c r="R36" s="13"/>
    </row>
    <row r="37" spans="1:18" ht="15.75" x14ac:dyDescent="0.25">
      <c r="A37" s="9"/>
      <c r="B37" s="3"/>
      <c r="C37" s="3"/>
      <c r="D37" s="13"/>
      <c r="E37" s="3"/>
      <c r="F37" s="3"/>
      <c r="G37" s="3"/>
      <c r="H37" s="9"/>
      <c r="I37" s="3"/>
      <c r="J37" s="3"/>
      <c r="K37" s="3"/>
      <c r="L37" s="3"/>
      <c r="M37" s="3"/>
      <c r="N37" s="3"/>
      <c r="O37" s="3"/>
      <c r="P37" s="3"/>
      <c r="Q37" s="3"/>
      <c r="R37" s="13"/>
    </row>
    <row r="38" spans="1:18" ht="15.75" x14ac:dyDescent="0.25">
      <c r="A38" s="9"/>
      <c r="B38" s="3"/>
      <c r="C38" s="3"/>
      <c r="D38" s="13"/>
      <c r="E38" s="3"/>
      <c r="F38" s="3"/>
      <c r="G38" s="3"/>
      <c r="H38" s="9"/>
      <c r="I38" s="3"/>
      <c r="J38" s="3"/>
      <c r="K38" s="3"/>
      <c r="L38" s="3"/>
      <c r="M38" s="3"/>
      <c r="N38" s="3"/>
      <c r="O38" s="3"/>
      <c r="P38" s="3"/>
      <c r="Q38" s="3"/>
      <c r="R38" s="13"/>
    </row>
    <row r="39" spans="1:18" ht="15.75" x14ac:dyDescent="0.25">
      <c r="A39" s="16"/>
      <c r="B39" s="17"/>
      <c r="C39" s="17"/>
      <c r="D39" s="18"/>
      <c r="E39" s="17"/>
      <c r="F39" s="17"/>
      <c r="G39" s="17"/>
      <c r="H39" s="16"/>
      <c r="I39" s="17"/>
      <c r="J39" s="17"/>
      <c r="K39" s="17"/>
      <c r="L39" s="17"/>
      <c r="M39" s="17"/>
      <c r="N39" s="17"/>
      <c r="O39" s="17"/>
      <c r="P39" s="17"/>
      <c r="Q39" s="17"/>
      <c r="R39" s="18"/>
    </row>
    <row r="40" spans="1:18" ht="15.75" x14ac:dyDescent="0.25">
      <c r="A40" s="166"/>
      <c r="B40" s="166"/>
      <c r="C40" s="3"/>
      <c r="D40" s="3"/>
      <c r="E40" s="166"/>
      <c r="F40" s="166"/>
      <c r="G40" s="166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15.75" x14ac:dyDescent="0.25">
      <c r="A41" s="166"/>
      <c r="B41" s="166"/>
      <c r="C41" s="3"/>
      <c r="D41" s="3"/>
      <c r="E41" s="166"/>
      <c r="F41" s="166"/>
      <c r="G41" s="166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15.75" x14ac:dyDescent="0.25">
      <c r="A42" s="166"/>
      <c r="B42" s="166"/>
      <c r="C42" s="3"/>
      <c r="D42" s="3"/>
      <c r="E42" s="166"/>
      <c r="F42" s="166"/>
      <c r="G42" s="166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15.75" x14ac:dyDescent="0.25">
      <c r="A43" s="166"/>
      <c r="B43" s="166"/>
      <c r="C43" s="3"/>
      <c r="D43" s="3"/>
      <c r="E43" s="166"/>
      <c r="F43" s="166"/>
      <c r="G43" s="166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15.75" x14ac:dyDescent="0.25">
      <c r="A44" s="166"/>
      <c r="B44" s="166"/>
      <c r="C44" s="15"/>
      <c r="D44" s="3"/>
      <c r="E44" s="166"/>
      <c r="F44" s="166"/>
      <c r="G44" s="166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15.75" x14ac:dyDescent="0.25">
      <c r="A45" s="166"/>
      <c r="B45" s="166"/>
      <c r="C45" s="3"/>
      <c r="D45" s="3"/>
      <c r="E45" s="166"/>
      <c r="F45" s="166"/>
      <c r="G45" s="16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15.75" x14ac:dyDescent="0.25">
      <c r="A46" s="166"/>
      <c r="B46" s="166"/>
      <c r="C46" s="15"/>
      <c r="D46" s="3"/>
      <c r="E46" s="166"/>
      <c r="F46" s="166"/>
      <c r="G46" s="166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15.75" x14ac:dyDescent="0.25">
      <c r="A47" s="166"/>
      <c r="B47" s="166"/>
      <c r="C47" s="15"/>
      <c r="D47" s="3"/>
      <c r="E47" s="166"/>
      <c r="F47" s="166"/>
      <c r="G47" s="166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</sheetData>
  <mergeCells count="38">
    <mergeCell ref="A47:B47"/>
    <mergeCell ref="E47:G47"/>
    <mergeCell ref="E22:G22"/>
    <mergeCell ref="A44:B44"/>
    <mergeCell ref="E44:G44"/>
    <mergeCell ref="A45:B45"/>
    <mergeCell ref="E45:G45"/>
    <mergeCell ref="A46:B46"/>
    <mergeCell ref="E46:G46"/>
    <mergeCell ref="A41:B41"/>
    <mergeCell ref="E41:G41"/>
    <mergeCell ref="A42:B42"/>
    <mergeCell ref="E42:G42"/>
    <mergeCell ref="A43:B43"/>
    <mergeCell ref="E43:G43"/>
    <mergeCell ref="A40:B40"/>
    <mergeCell ref="E40:G40"/>
    <mergeCell ref="E21:G21"/>
    <mergeCell ref="E17:G17"/>
    <mergeCell ref="E18:G18"/>
    <mergeCell ref="E19:G19"/>
    <mergeCell ref="E20:G20"/>
    <mergeCell ref="A2:B2"/>
    <mergeCell ref="E2:G2"/>
    <mergeCell ref="E3:G3"/>
    <mergeCell ref="E4:G4"/>
    <mergeCell ref="E16:G16"/>
    <mergeCell ref="E5:G5"/>
    <mergeCell ref="E6:G6"/>
    <mergeCell ref="E7:G7"/>
    <mergeCell ref="E8:G8"/>
    <mergeCell ref="E9:G9"/>
    <mergeCell ref="E10:G10"/>
    <mergeCell ref="E11:G11"/>
    <mergeCell ref="E12:G12"/>
    <mergeCell ref="E13:G13"/>
    <mergeCell ref="E14:G14"/>
    <mergeCell ref="E15:G1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A777D-AECC-4925-8DC5-993292D4E6AC}">
  <sheetPr>
    <tabColor theme="1"/>
  </sheetPr>
  <dimension ref="C4:I12"/>
  <sheetViews>
    <sheetView workbookViewId="0">
      <selection activeCell="F21" sqref="F21"/>
    </sheetView>
  </sheetViews>
  <sheetFormatPr defaultRowHeight="15" x14ac:dyDescent="0.25"/>
  <cols>
    <col min="3" max="3" width="23.85546875" bestFit="1" customWidth="1"/>
    <col min="8" max="8" width="24.140625" bestFit="1" customWidth="1"/>
  </cols>
  <sheetData>
    <row r="4" spans="3:9" x14ac:dyDescent="0.25">
      <c r="C4" t="s">
        <v>62</v>
      </c>
    </row>
    <row r="6" spans="3:9" x14ac:dyDescent="0.25">
      <c r="C6" t="s">
        <v>63</v>
      </c>
      <c r="D6" t="s">
        <v>64</v>
      </c>
      <c r="H6" t="s">
        <v>65</v>
      </c>
      <c r="I6" s="14">
        <f>'Workshop Uppsala'!E77</f>
        <v>0</v>
      </c>
    </row>
    <row r="7" spans="3:9" x14ac:dyDescent="0.25">
      <c r="C7" t="s">
        <v>66</v>
      </c>
      <c r="D7" s="33">
        <f>1-4/6</f>
        <v>0.33333333333333337</v>
      </c>
      <c r="H7" t="s">
        <v>66</v>
      </c>
      <c r="I7" s="14">
        <f>D7*I6</f>
        <v>0</v>
      </c>
    </row>
    <row r="8" spans="3:9" x14ac:dyDescent="0.25">
      <c r="C8" t="s">
        <v>67</v>
      </c>
      <c r="D8" s="85">
        <v>0.05</v>
      </c>
      <c r="E8" t="s">
        <v>68</v>
      </c>
      <c r="H8" t="s">
        <v>67</v>
      </c>
      <c r="I8" s="37">
        <f>D8*I6</f>
        <v>0</v>
      </c>
    </row>
    <row r="10" spans="3:9" x14ac:dyDescent="0.25">
      <c r="C10" t="s">
        <v>69</v>
      </c>
      <c r="D10" s="14">
        <f>'Workshop Uppsala'!E98</f>
        <v>0</v>
      </c>
    </row>
    <row r="11" spans="3:9" x14ac:dyDescent="0.25">
      <c r="C11" t="s">
        <v>66</v>
      </c>
      <c r="D11" s="14">
        <f>D10</f>
        <v>0</v>
      </c>
    </row>
    <row r="12" spans="3:9" x14ac:dyDescent="0.25">
      <c r="C12" t="s">
        <v>70</v>
      </c>
      <c r="D12" s="14">
        <f>D10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C2ACE-81A1-47AA-8E6A-5F664356A197}">
  <sheetPr>
    <tabColor theme="1"/>
  </sheetPr>
  <dimension ref="C4:K19"/>
  <sheetViews>
    <sheetView topLeftCell="A2" workbookViewId="0">
      <selection activeCell="E25" sqref="E25"/>
    </sheetView>
  </sheetViews>
  <sheetFormatPr defaultRowHeight="15" x14ac:dyDescent="0.25"/>
  <cols>
    <col min="3" max="3" width="38.85546875" bestFit="1" customWidth="1"/>
    <col min="9" max="9" width="28.7109375" bestFit="1" customWidth="1"/>
    <col min="10" max="10" width="23.7109375" bestFit="1" customWidth="1"/>
    <col min="11" max="11" width="25.140625" bestFit="1" customWidth="1"/>
  </cols>
  <sheetData>
    <row r="4" spans="3:11" x14ac:dyDescent="0.25">
      <c r="C4" t="s">
        <v>71</v>
      </c>
      <c r="I4" t="s">
        <v>72</v>
      </c>
      <c r="J4" t="s">
        <v>73</v>
      </c>
      <c r="K4" t="s">
        <v>74</v>
      </c>
    </row>
    <row r="5" spans="3:11" x14ac:dyDescent="0.25">
      <c r="C5" t="s">
        <v>75</v>
      </c>
      <c r="I5" s="14">
        <f>('Total reduction visuals'!N18-'Total reduction visuals'!N30)/'Total reduction visuals'!D7</f>
        <v>0</v>
      </c>
      <c r="J5" s="33">
        <f>(1-'Total reduction visuals'!N18)/'Total reduction visuals'!D6</f>
        <v>0</v>
      </c>
      <c r="K5" s="14">
        <v>0</v>
      </c>
    </row>
    <row r="6" spans="3:11" x14ac:dyDescent="0.25">
      <c r="C6" t="s">
        <v>76</v>
      </c>
      <c r="D6">
        <v>6</v>
      </c>
      <c r="I6">
        <f>I5*E13</f>
        <v>0</v>
      </c>
      <c r="J6" s="38">
        <f>J5*E14</f>
        <v>0</v>
      </c>
      <c r="K6">
        <f>F15*K5</f>
        <v>0</v>
      </c>
    </row>
    <row r="7" spans="3:11" x14ac:dyDescent="0.25">
      <c r="C7" t="s">
        <v>62</v>
      </c>
      <c r="D7">
        <v>8</v>
      </c>
      <c r="H7" t="s">
        <v>77</v>
      </c>
    </row>
    <row r="8" spans="3:11" x14ac:dyDescent="0.25">
      <c r="C8" t="s">
        <v>78</v>
      </c>
      <c r="D8">
        <v>7</v>
      </c>
    </row>
    <row r="9" spans="3:11" x14ac:dyDescent="0.25">
      <c r="C9" t="s">
        <v>79</v>
      </c>
      <c r="D9">
        <v>7</v>
      </c>
    </row>
    <row r="10" spans="3:11" x14ac:dyDescent="0.25">
      <c r="C10" t="s">
        <v>80</v>
      </c>
      <c r="D10">
        <v>7</v>
      </c>
    </row>
    <row r="13" spans="3:11" x14ac:dyDescent="0.25">
      <c r="C13" t="s">
        <v>81</v>
      </c>
      <c r="D13" s="14">
        <f>'Total reduction visuals'!D7</f>
        <v>0.26</v>
      </c>
      <c r="E13">
        <f>100*D13</f>
        <v>26</v>
      </c>
    </row>
    <row r="14" spans="3:11" x14ac:dyDescent="0.25">
      <c r="C14" t="s">
        <v>82</v>
      </c>
      <c r="D14" s="14">
        <f>'Total reduction visuals'!D6</f>
        <v>0.31</v>
      </c>
      <c r="E14">
        <f>100*D14</f>
        <v>31</v>
      </c>
    </row>
    <row r="15" spans="3:11" x14ac:dyDescent="0.25">
      <c r="C15" t="s">
        <v>83</v>
      </c>
      <c r="D15" s="14">
        <f>E15-D13-D14</f>
        <v>0.43</v>
      </c>
      <c r="E15" s="14">
        <v>1</v>
      </c>
      <c r="F15">
        <v>43</v>
      </c>
    </row>
    <row r="16" spans="3:11" x14ac:dyDescent="0.25">
      <c r="C16" t="s">
        <v>84</v>
      </c>
      <c r="D16">
        <f>F15*D10+E14*D6+E13*D7</f>
        <v>695</v>
      </c>
    </row>
    <row r="17" spans="3:5" x14ac:dyDescent="0.25">
      <c r="D17" s="33"/>
      <c r="E17" t="s">
        <v>85</v>
      </c>
    </row>
    <row r="18" spans="3:5" x14ac:dyDescent="0.25">
      <c r="C18" t="s">
        <v>86</v>
      </c>
      <c r="D18" s="119">
        <f>I6*D7+J6*D6+K6*D8</f>
        <v>0</v>
      </c>
      <c r="E18" s="33">
        <f>D18/D16</f>
        <v>0</v>
      </c>
    </row>
    <row r="19" spans="3:5" x14ac:dyDescent="0.25">
      <c r="C19" t="s">
        <v>87</v>
      </c>
      <c r="D19" s="14"/>
      <c r="E19" s="14">
        <f>1-E18</f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E56E5-7B1B-4769-A315-01B3B6F8B3D5}">
  <sheetPr>
    <tabColor theme="1"/>
  </sheetPr>
  <dimension ref="C3:AA39"/>
  <sheetViews>
    <sheetView topLeftCell="C28" workbookViewId="0">
      <selection activeCell="W34" sqref="W34"/>
    </sheetView>
  </sheetViews>
  <sheetFormatPr defaultRowHeight="15" x14ac:dyDescent="0.25"/>
  <cols>
    <col min="3" max="3" width="23" bestFit="1" customWidth="1"/>
    <col min="4" max="4" width="10.140625" bestFit="1" customWidth="1"/>
    <col min="10" max="10" width="21.85546875" bestFit="1" customWidth="1"/>
    <col min="14" max="14" width="8.85546875" bestFit="1" customWidth="1"/>
    <col min="18" max="18" width="15.42578125" customWidth="1"/>
    <col min="25" max="25" width="8.85546875" bestFit="1" customWidth="1"/>
  </cols>
  <sheetData>
    <row r="3" spans="3:27" x14ac:dyDescent="0.25">
      <c r="R3" t="s">
        <v>88</v>
      </c>
    </row>
    <row r="4" spans="3:27" x14ac:dyDescent="0.25">
      <c r="R4" t="s">
        <v>89</v>
      </c>
      <c r="V4" t="s">
        <v>90</v>
      </c>
      <c r="Y4" t="s">
        <v>91</v>
      </c>
    </row>
    <row r="5" spans="3:27" x14ac:dyDescent="0.25">
      <c r="D5" t="s">
        <v>92</v>
      </c>
      <c r="E5" t="s">
        <v>93</v>
      </c>
      <c r="R5" t="s">
        <v>94</v>
      </c>
      <c r="S5" s="37">
        <f>(1-K8)*D6</f>
        <v>0.31</v>
      </c>
      <c r="T5" s="37">
        <f>D6-S5</f>
        <v>0</v>
      </c>
      <c r="U5" s="36">
        <f>1-T5</f>
        <v>1</v>
      </c>
      <c r="V5" s="37">
        <f>S5*(1-K13)</f>
        <v>0.31</v>
      </c>
      <c r="W5" s="37">
        <f>D6-V5</f>
        <v>0</v>
      </c>
      <c r="X5" s="37">
        <f>1-W5</f>
        <v>1</v>
      </c>
      <c r="Y5" s="37">
        <f>V5*(1-K18)</f>
        <v>0.31</v>
      </c>
      <c r="Z5" s="37">
        <f>D6-Y5</f>
        <v>0</v>
      </c>
      <c r="AA5" s="37">
        <f>1-Z5</f>
        <v>1</v>
      </c>
    </row>
    <row r="6" spans="3:27" x14ac:dyDescent="0.25">
      <c r="C6" t="s">
        <v>95</v>
      </c>
      <c r="D6" s="33">
        <v>0.31</v>
      </c>
      <c r="E6" s="33">
        <v>7.0000000000000007E-2</v>
      </c>
      <c r="J6" t="s">
        <v>96</v>
      </c>
      <c r="R6" t="s">
        <v>93</v>
      </c>
      <c r="S6" s="36">
        <f>(1-K9)*E6</f>
        <v>7.0000000000000007E-2</v>
      </c>
      <c r="T6" s="36">
        <f>E6-S6</f>
        <v>0</v>
      </c>
      <c r="U6" s="36">
        <f>1-T6</f>
        <v>1</v>
      </c>
      <c r="V6" s="36">
        <f>S6*(1-K14)</f>
        <v>7.0000000000000007E-2</v>
      </c>
      <c r="W6" s="36">
        <f>E6-V6</f>
        <v>0</v>
      </c>
      <c r="X6" s="36">
        <f>1-W6</f>
        <v>1</v>
      </c>
      <c r="Y6" s="36">
        <f>V6*(1+K19)</f>
        <v>7.0000000000000007E-2</v>
      </c>
      <c r="Z6" s="36">
        <f>Y6-E6</f>
        <v>0</v>
      </c>
      <c r="AA6" s="36">
        <f>1+Z6</f>
        <v>1</v>
      </c>
    </row>
    <row r="7" spans="3:27" x14ac:dyDescent="0.25">
      <c r="C7" t="s">
        <v>12</v>
      </c>
      <c r="D7" s="33">
        <v>0.26</v>
      </c>
      <c r="E7" s="33">
        <v>0.19</v>
      </c>
      <c r="J7" t="s">
        <v>97</v>
      </c>
      <c r="M7" t="s">
        <v>98</v>
      </c>
    </row>
    <row r="8" spans="3:27" x14ac:dyDescent="0.25">
      <c r="C8" t="s">
        <v>99</v>
      </c>
      <c r="D8" s="33">
        <v>0.2</v>
      </c>
      <c r="E8" s="33">
        <v>0.3</v>
      </c>
      <c r="J8" t="s">
        <v>100</v>
      </c>
      <c r="K8" s="14">
        <f>Optimization!E11</f>
        <v>0</v>
      </c>
      <c r="M8" t="s">
        <v>100</v>
      </c>
      <c r="N8" s="36">
        <f>(100%-K8*D6)</f>
        <v>1</v>
      </c>
      <c r="O8" s="36"/>
    </row>
    <row r="9" spans="3:27" x14ac:dyDescent="0.25">
      <c r="C9" t="s">
        <v>101</v>
      </c>
      <c r="D9" s="33">
        <v>0.12</v>
      </c>
      <c r="E9" s="33">
        <v>0.24</v>
      </c>
      <c r="J9" t="s">
        <v>102</v>
      </c>
      <c r="K9" s="14">
        <f>Optimization!E12</f>
        <v>0</v>
      </c>
      <c r="M9" t="s">
        <v>103</v>
      </c>
      <c r="N9" s="36">
        <f>(100%-K9*E6)</f>
        <v>1</v>
      </c>
    </row>
    <row r="10" spans="3:27" x14ac:dyDescent="0.25">
      <c r="C10" t="s">
        <v>104</v>
      </c>
      <c r="D10" s="33">
        <v>0.11</v>
      </c>
      <c r="E10" s="33">
        <v>0.21</v>
      </c>
    </row>
    <row r="11" spans="3:27" x14ac:dyDescent="0.25">
      <c r="J11" t="s">
        <v>90</v>
      </c>
    </row>
    <row r="12" spans="3:27" x14ac:dyDescent="0.25">
      <c r="J12" t="s">
        <v>97</v>
      </c>
      <c r="M12" t="s">
        <v>98</v>
      </c>
    </row>
    <row r="13" spans="3:27" x14ac:dyDescent="0.25">
      <c r="J13" t="s">
        <v>100</v>
      </c>
      <c r="K13" s="14">
        <f>'Plastic reduction '!M7</f>
        <v>0</v>
      </c>
      <c r="M13" t="s">
        <v>100</v>
      </c>
      <c r="N13" s="37">
        <f>X5</f>
        <v>1</v>
      </c>
      <c r="R13" t="s">
        <v>105</v>
      </c>
    </row>
    <row r="14" spans="3:27" x14ac:dyDescent="0.25">
      <c r="J14" t="s">
        <v>106</v>
      </c>
      <c r="K14" s="14">
        <f>-'Cost difference'!C39</f>
        <v>0</v>
      </c>
      <c r="M14" t="s">
        <v>103</v>
      </c>
      <c r="N14" s="36">
        <f>X6</f>
        <v>1</v>
      </c>
      <c r="R14" t="s">
        <v>89</v>
      </c>
      <c r="V14" t="s">
        <v>90</v>
      </c>
    </row>
    <row r="15" spans="3:27" x14ac:dyDescent="0.25">
      <c r="R15" t="s">
        <v>92</v>
      </c>
      <c r="S15" s="37">
        <f>D7-T15</f>
        <v>0.26</v>
      </c>
      <c r="T15" s="37">
        <f>K25*D7</f>
        <v>0</v>
      </c>
      <c r="U15" s="37">
        <f>AA5-T15</f>
        <v>1</v>
      </c>
      <c r="V15" s="85">
        <f>S15*(1-K30)</f>
        <v>0.26</v>
      </c>
      <c r="W15" s="85">
        <f>D7-V15</f>
        <v>0</v>
      </c>
      <c r="X15" s="85">
        <f>S15-V15</f>
        <v>0</v>
      </c>
      <c r="Y15" s="90">
        <f>U15-X15</f>
        <v>1</v>
      </c>
      <c r="Z15" s="33"/>
    </row>
    <row r="16" spans="3:27" x14ac:dyDescent="0.25">
      <c r="J16" t="s">
        <v>91</v>
      </c>
      <c r="R16" t="s">
        <v>107</v>
      </c>
      <c r="S16" s="14">
        <f>E7+T16</f>
        <v>0.19</v>
      </c>
      <c r="T16" s="36">
        <f>K26*E7</f>
        <v>0</v>
      </c>
      <c r="U16" s="36">
        <f>AA6+T16</f>
        <v>1</v>
      </c>
      <c r="V16" s="33">
        <f>S16*(1-K31)</f>
        <v>0.19</v>
      </c>
      <c r="W16" s="85">
        <f>E7-V16</f>
        <v>0</v>
      </c>
      <c r="X16" s="85">
        <f>S16-V16</f>
        <v>0</v>
      </c>
      <c r="Y16" s="85">
        <f>U16-X16</f>
        <v>1</v>
      </c>
      <c r="Z16" s="33"/>
    </row>
    <row r="17" spans="10:20" x14ac:dyDescent="0.25">
      <c r="J17" t="s">
        <v>97</v>
      </c>
      <c r="M17" t="s">
        <v>98</v>
      </c>
    </row>
    <row r="18" spans="10:20" x14ac:dyDescent="0.25">
      <c r="J18" t="s">
        <v>100</v>
      </c>
      <c r="K18" s="33">
        <f>'Plastic reduction '!M9</f>
        <v>0</v>
      </c>
      <c r="M18" t="s">
        <v>100</v>
      </c>
      <c r="N18" s="37">
        <f>AA5</f>
        <v>1</v>
      </c>
    </row>
    <row r="19" spans="10:20" x14ac:dyDescent="0.25">
      <c r="J19" t="s">
        <v>108</v>
      </c>
      <c r="K19" s="33">
        <f>'Cost difference'!C40</f>
        <v>0</v>
      </c>
      <c r="M19" t="s">
        <v>103</v>
      </c>
      <c r="N19" s="36">
        <f>AA6</f>
        <v>1</v>
      </c>
    </row>
    <row r="22" spans="10:20" x14ac:dyDescent="0.25">
      <c r="J22" t="s">
        <v>12</v>
      </c>
      <c r="R22" s="37"/>
    </row>
    <row r="23" spans="10:20" x14ac:dyDescent="0.25">
      <c r="J23" t="s">
        <v>89</v>
      </c>
      <c r="R23" s="37">
        <f>N18</f>
        <v>1</v>
      </c>
      <c r="S23" s="37">
        <f>N25</f>
        <v>1</v>
      </c>
      <c r="T23" s="37">
        <f>N30</f>
        <v>1</v>
      </c>
    </row>
    <row r="24" spans="10:20" x14ac:dyDescent="0.25">
      <c r="J24" t="s">
        <v>109</v>
      </c>
      <c r="M24" t="s">
        <v>98</v>
      </c>
    </row>
    <row r="25" spans="10:20" x14ac:dyDescent="0.25">
      <c r="J25" t="s">
        <v>100</v>
      </c>
      <c r="K25" s="14">
        <f>Gloves!I7</f>
        <v>0</v>
      </c>
      <c r="M25" t="s">
        <v>100</v>
      </c>
      <c r="N25" s="37">
        <f>U15</f>
        <v>1</v>
      </c>
      <c r="S25" s="37">
        <f>T23/R23</f>
        <v>1</v>
      </c>
    </row>
    <row r="26" spans="10:20" x14ac:dyDescent="0.25">
      <c r="J26" t="s">
        <v>108</v>
      </c>
      <c r="K26" s="14">
        <f>Gloves!I8</f>
        <v>0</v>
      </c>
      <c r="M26" t="s">
        <v>103</v>
      </c>
      <c r="N26" s="37">
        <f>U16</f>
        <v>1</v>
      </c>
      <c r="S26" s="37">
        <f>1-S25</f>
        <v>0</v>
      </c>
    </row>
    <row r="27" spans="10:20" x14ac:dyDescent="0.25">
      <c r="S27" s="37">
        <f>S26*R23</f>
        <v>0</v>
      </c>
    </row>
    <row r="28" spans="10:20" x14ac:dyDescent="0.25">
      <c r="J28" t="s">
        <v>90</v>
      </c>
    </row>
    <row r="29" spans="10:20" x14ac:dyDescent="0.25">
      <c r="J29" t="s">
        <v>110</v>
      </c>
      <c r="M29" t="s">
        <v>98</v>
      </c>
    </row>
    <row r="30" spans="10:20" x14ac:dyDescent="0.25">
      <c r="J30" t="s">
        <v>100</v>
      </c>
      <c r="K30" s="14">
        <f>Gloves!D11</f>
        <v>0</v>
      </c>
      <c r="M30" t="s">
        <v>100</v>
      </c>
      <c r="N30" s="37">
        <f>Y15</f>
        <v>1</v>
      </c>
    </row>
    <row r="31" spans="10:20" x14ac:dyDescent="0.25">
      <c r="J31" t="s">
        <v>106</v>
      </c>
      <c r="K31" s="14">
        <f>Gloves!D12</f>
        <v>0</v>
      </c>
      <c r="M31" t="s">
        <v>103</v>
      </c>
      <c r="N31" s="37">
        <f>Y16</f>
        <v>1</v>
      </c>
    </row>
    <row r="36" spans="3:5" x14ac:dyDescent="0.25">
      <c r="C36" t="s">
        <v>111</v>
      </c>
      <c r="D36" t="s">
        <v>112</v>
      </c>
      <c r="E36" t="s">
        <v>113</v>
      </c>
    </row>
    <row r="37" spans="3:5" x14ac:dyDescent="0.25">
      <c r="C37" t="s">
        <v>114</v>
      </c>
      <c r="D37" s="14">
        <v>1</v>
      </c>
      <c r="E37" s="37">
        <f>N30</f>
        <v>1</v>
      </c>
    </row>
    <row r="38" spans="3:5" x14ac:dyDescent="0.25">
      <c r="C38" t="s">
        <v>115</v>
      </c>
      <c r="D38" s="14">
        <v>1</v>
      </c>
      <c r="E38" s="37">
        <f>N31</f>
        <v>1</v>
      </c>
    </row>
    <row r="39" spans="3:5" x14ac:dyDescent="0.25">
      <c r="C39" t="s">
        <v>116</v>
      </c>
      <c r="D39" s="14">
        <v>1</v>
      </c>
      <c r="E39" s="14">
        <f>'CO2'!E19</f>
        <v>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B466C-953F-45CB-968A-8DB5ED96907C}">
  <sheetPr>
    <tabColor theme="2" tint="-0.89999084444715716"/>
  </sheetPr>
  <dimension ref="A1:M37"/>
  <sheetViews>
    <sheetView workbookViewId="0">
      <selection activeCell="H13" sqref="H13"/>
    </sheetView>
  </sheetViews>
  <sheetFormatPr defaultRowHeight="15" x14ac:dyDescent="0.25"/>
  <cols>
    <col min="2" max="2" width="19.42578125" bestFit="1" customWidth="1"/>
    <col min="3" max="3" width="13.42578125" customWidth="1"/>
    <col min="12" max="12" width="31.42578125" bestFit="1" customWidth="1"/>
  </cols>
  <sheetData>
    <row r="1" spans="1:13" x14ac:dyDescent="0.25">
      <c r="A1" t="s">
        <v>66</v>
      </c>
    </row>
    <row r="2" spans="1:13" x14ac:dyDescent="0.25">
      <c r="L2" t="s">
        <v>117</v>
      </c>
    </row>
    <row r="3" spans="1:13" x14ac:dyDescent="0.25">
      <c r="C3" t="s">
        <v>32</v>
      </c>
      <c r="D3" t="s">
        <v>31</v>
      </c>
      <c r="E3" t="s">
        <v>30</v>
      </c>
      <c r="F3" t="s">
        <v>29</v>
      </c>
      <c r="G3" t="s">
        <v>28</v>
      </c>
      <c r="H3" t="s">
        <v>27</v>
      </c>
      <c r="I3" t="s">
        <v>26</v>
      </c>
      <c r="J3" t="s">
        <v>118</v>
      </c>
    </row>
    <row r="4" spans="1:13" x14ac:dyDescent="0.25">
      <c r="B4" t="s">
        <v>119</v>
      </c>
      <c r="C4">
        <f>'Adoption and reduction'!C24</f>
        <v>54395</v>
      </c>
      <c r="D4">
        <f>'Adoption and reduction'!C26</f>
        <v>3610</v>
      </c>
      <c r="E4">
        <f>'Adoption and reduction'!C28</f>
        <v>0</v>
      </c>
      <c r="F4">
        <f>'Adoption and reduction'!C30</f>
        <v>67</v>
      </c>
      <c r="G4">
        <f>'Adoption and reduction'!C32</f>
        <v>797</v>
      </c>
      <c r="H4">
        <f>'Adoption and reduction'!C34</f>
        <v>1567</v>
      </c>
      <c r="I4">
        <f>'Adoption and reduction'!C36</f>
        <v>0</v>
      </c>
      <c r="L4" s="179" t="s">
        <v>120</v>
      </c>
      <c r="M4" s="179"/>
    </row>
    <row r="5" spans="1:13" ht="30.6" customHeight="1" x14ac:dyDescent="0.25">
      <c r="B5" t="s">
        <v>121</v>
      </c>
      <c r="C5" s="40">
        <v>2.0550000000000002</v>
      </c>
      <c r="D5" s="40">
        <v>1.325</v>
      </c>
      <c r="E5" s="40">
        <v>0.78500000000000003</v>
      </c>
      <c r="F5" s="40">
        <v>0.495</v>
      </c>
      <c r="G5" s="40">
        <v>0.26500000000000001</v>
      </c>
      <c r="H5" s="40">
        <v>0.22</v>
      </c>
      <c r="I5" s="40">
        <v>9.0999999999999998E-2</v>
      </c>
      <c r="L5" s="32" t="s">
        <v>122</v>
      </c>
      <c r="M5" s="14">
        <v>0.8</v>
      </c>
    </row>
    <row r="6" spans="1:13" x14ac:dyDescent="0.25">
      <c r="B6" t="s">
        <v>123</v>
      </c>
      <c r="C6">
        <f>C4*C5</f>
        <v>111781.72500000001</v>
      </c>
      <c r="D6">
        <f t="shared" ref="D6:E6" si="0">D4*D5</f>
        <v>4783.25</v>
      </c>
      <c r="E6">
        <f t="shared" si="0"/>
        <v>0</v>
      </c>
      <c r="F6">
        <f t="shared" ref="F6" si="1">F4*F5</f>
        <v>33.164999999999999</v>
      </c>
      <c r="G6">
        <f t="shared" ref="G6" si="2">G4*G5</f>
        <v>211.20500000000001</v>
      </c>
      <c r="H6">
        <f>H4*H5</f>
        <v>344.74</v>
      </c>
      <c r="I6">
        <f>I4*I5</f>
        <v>0</v>
      </c>
      <c r="J6">
        <f>SUM(C6:I6)</f>
        <v>117154.08500000001</v>
      </c>
    </row>
    <row r="7" spans="1:13" x14ac:dyDescent="0.25">
      <c r="B7" s="179" t="s">
        <v>124</v>
      </c>
      <c r="C7" s="179"/>
      <c r="D7" s="179"/>
      <c r="E7" s="179"/>
      <c r="F7" s="179"/>
      <c r="G7" s="179"/>
      <c r="H7" s="179"/>
      <c r="I7" s="179"/>
      <c r="J7" s="179"/>
      <c r="L7" t="s">
        <v>125</v>
      </c>
      <c r="M7">
        <f>(1-J8/J6)</f>
        <v>0</v>
      </c>
    </row>
    <row r="8" spans="1:13" x14ac:dyDescent="0.25">
      <c r="B8" t="s">
        <v>123</v>
      </c>
      <c r="C8">
        <f>C6*(1-'Adoption and reduction'!$C$19)</f>
        <v>111781.72500000001</v>
      </c>
      <c r="D8">
        <f>D6*(1-'Adoption and reduction'!$C$19)</f>
        <v>4783.25</v>
      </c>
      <c r="E8">
        <f>E6*(1-'Adoption and reduction'!$C$19)</f>
        <v>0</v>
      </c>
      <c r="F8">
        <f>F6*(1-'Adoption and reduction'!$C$19)</f>
        <v>33.164999999999999</v>
      </c>
      <c r="G8">
        <f>G6*(1-'Adoption and reduction'!$C$19)</f>
        <v>211.20500000000001</v>
      </c>
      <c r="H8">
        <f>H6*(1-'Adoption and reduction'!$C$19)</f>
        <v>344.74</v>
      </c>
      <c r="I8">
        <f>I6*(1-'Adoption and reduction'!$C$19)</f>
        <v>0</v>
      </c>
      <c r="J8">
        <f>SUM(C8:I8)</f>
        <v>117154.08500000001</v>
      </c>
    </row>
    <row r="9" spans="1:13" x14ac:dyDescent="0.25">
      <c r="B9" s="179" t="s">
        <v>126</v>
      </c>
      <c r="C9" s="179"/>
      <c r="D9" s="179"/>
      <c r="E9" s="179"/>
      <c r="F9" s="179"/>
      <c r="G9" s="179"/>
      <c r="H9" s="179"/>
      <c r="I9" s="179"/>
      <c r="J9" s="179"/>
      <c r="L9" t="s">
        <v>127</v>
      </c>
      <c r="M9">
        <f>(1-J10/J8)</f>
        <v>0</v>
      </c>
    </row>
    <row r="10" spans="1:13" x14ac:dyDescent="0.25">
      <c r="B10" t="s">
        <v>123</v>
      </c>
      <c r="C10">
        <f>C8*(1-'Adoption and reduction'!$C4)+'Adoption and reduction'!$C4*(1-$M$5)*C8</f>
        <v>111781.72500000001</v>
      </c>
      <c r="D10">
        <f>D8*(1-'Adoption and reduction'!$C6)+'Adoption and reduction'!$C6*(1-$M$5)*D8</f>
        <v>4783.25</v>
      </c>
      <c r="E10">
        <f>E8*(1-'Adoption and reduction'!$C8)+'Adoption and reduction'!$C8*(1-$M$5)*E8</f>
        <v>0</v>
      </c>
      <c r="F10">
        <f>F8*(1-'Adoption and reduction'!C10)+'Adoption and reduction'!C10*(1-'Plastic reduction '!M5)*'Plastic reduction '!F8</f>
        <v>33.164999999999999</v>
      </c>
      <c r="G10">
        <f>G8*(1-'Adoption and reduction'!C12)+'Adoption and reduction'!C12*(1-'Plastic reduction '!M5)*'Plastic reduction '!G8</f>
        <v>211.20500000000001</v>
      </c>
      <c r="H10">
        <f>H8*(1-'Adoption and reduction'!$C14)+'Adoption and reduction'!$C14*(1-$M$5)*H8</f>
        <v>344.74</v>
      </c>
      <c r="I10">
        <f>I8*(1-'Adoption and reduction'!C16)+'Adoption and reduction'!C16*(1-'Plastic reduction '!M5)*'Plastic reduction '!I8</f>
        <v>0</v>
      </c>
      <c r="J10">
        <f>SUM(C10:I10)</f>
        <v>117154.08500000001</v>
      </c>
    </row>
    <row r="12" spans="1:13" x14ac:dyDescent="0.25">
      <c r="B12" t="s">
        <v>128</v>
      </c>
      <c r="C12" s="33">
        <f>J10/J6</f>
        <v>1</v>
      </c>
    </row>
    <row r="13" spans="1:13" x14ac:dyDescent="0.25">
      <c r="B13" t="s">
        <v>129</v>
      </c>
      <c r="C13" s="33">
        <f>1-C12</f>
        <v>0</v>
      </c>
    </row>
    <row r="16" spans="1:13" ht="30" x14ac:dyDescent="0.25">
      <c r="B16" s="31" t="s">
        <v>130</v>
      </c>
    </row>
    <row r="17" spans="2:4" x14ac:dyDescent="0.25">
      <c r="B17" t="s">
        <v>131</v>
      </c>
    </row>
    <row r="18" spans="2:4" x14ac:dyDescent="0.25">
      <c r="B18" t="s">
        <v>132</v>
      </c>
      <c r="C18" t="s">
        <v>133</v>
      </c>
      <c r="D18" t="s">
        <v>134</v>
      </c>
    </row>
    <row r="19" spans="2:4" x14ac:dyDescent="0.25">
      <c r="B19" t="s">
        <v>32</v>
      </c>
      <c r="C19">
        <f>C6</f>
        <v>111781.72500000001</v>
      </c>
      <c r="D19" s="38">
        <f>C10</f>
        <v>111781.72500000001</v>
      </c>
    </row>
    <row r="20" spans="2:4" x14ac:dyDescent="0.25">
      <c r="B20" t="s">
        <v>31</v>
      </c>
      <c r="C20">
        <f>D6</f>
        <v>4783.25</v>
      </c>
      <c r="D20" s="38">
        <f>D10</f>
        <v>4783.25</v>
      </c>
    </row>
    <row r="21" spans="2:4" x14ac:dyDescent="0.25">
      <c r="B21" t="s">
        <v>30</v>
      </c>
      <c r="C21">
        <f>E6</f>
        <v>0</v>
      </c>
      <c r="D21" s="38">
        <f>E10</f>
        <v>0</v>
      </c>
    </row>
    <row r="22" spans="2:4" x14ac:dyDescent="0.25">
      <c r="B22" t="s">
        <v>29</v>
      </c>
      <c r="C22">
        <f>F6</f>
        <v>33.164999999999999</v>
      </c>
      <c r="D22">
        <f>F10</f>
        <v>33.164999999999999</v>
      </c>
    </row>
    <row r="23" spans="2:4" x14ac:dyDescent="0.25">
      <c r="B23" t="s">
        <v>28</v>
      </c>
      <c r="C23">
        <f>G6</f>
        <v>211.20500000000001</v>
      </c>
      <c r="D23">
        <f>G10</f>
        <v>211.20500000000001</v>
      </c>
    </row>
    <row r="24" spans="2:4" x14ac:dyDescent="0.25">
      <c r="B24" t="s">
        <v>27</v>
      </c>
      <c r="C24">
        <f>H6</f>
        <v>344.74</v>
      </c>
      <c r="D24" s="38">
        <f>H10</f>
        <v>344.74</v>
      </c>
    </row>
    <row r="25" spans="2:4" x14ac:dyDescent="0.25">
      <c r="B25" t="s">
        <v>26</v>
      </c>
      <c r="C25">
        <f>I6</f>
        <v>0</v>
      </c>
      <c r="D25">
        <f>I10</f>
        <v>0</v>
      </c>
    </row>
    <row r="26" spans="2:4" x14ac:dyDescent="0.25">
      <c r="B26" t="s">
        <v>135</v>
      </c>
      <c r="C26">
        <f>J6</f>
        <v>117154.08500000001</v>
      </c>
      <c r="D26" s="38">
        <f>J10</f>
        <v>117154.08500000001</v>
      </c>
    </row>
    <row r="28" spans="2:4" x14ac:dyDescent="0.25">
      <c r="B28" t="s">
        <v>136</v>
      </c>
    </row>
    <row r="29" spans="2:4" x14ac:dyDescent="0.25">
      <c r="B29" t="s">
        <v>132</v>
      </c>
      <c r="C29" t="s">
        <v>137</v>
      </c>
    </row>
    <row r="30" spans="2:4" x14ac:dyDescent="0.25">
      <c r="B30" t="s">
        <v>32</v>
      </c>
      <c r="C30" s="85">
        <f>1-D19/C19</f>
        <v>0</v>
      </c>
    </row>
    <row r="31" spans="2:4" x14ac:dyDescent="0.25">
      <c r="B31" t="s">
        <v>31</v>
      </c>
      <c r="C31" s="85">
        <f t="shared" ref="C31" si="3">1-D20/C20</f>
        <v>0</v>
      </c>
    </row>
    <row r="32" spans="2:4" x14ac:dyDescent="0.25">
      <c r="B32" t="s">
        <v>30</v>
      </c>
      <c r="C32" s="85" t="e">
        <f>1-D21/C21</f>
        <v>#DIV/0!</v>
      </c>
    </row>
    <row r="33" spans="2:3" x14ac:dyDescent="0.25">
      <c r="B33" t="s">
        <v>29</v>
      </c>
      <c r="C33" s="85">
        <f>1-D22/C22</f>
        <v>0</v>
      </c>
    </row>
    <row r="34" spans="2:3" x14ac:dyDescent="0.25">
      <c r="B34" t="s">
        <v>28</v>
      </c>
      <c r="C34" s="85">
        <f t="shared" ref="C34" si="4">1-D23/C23</f>
        <v>0</v>
      </c>
    </row>
    <row r="35" spans="2:3" x14ac:dyDescent="0.25">
      <c r="B35" t="s">
        <v>27</v>
      </c>
      <c r="C35" s="85">
        <f>1-D24/C24</f>
        <v>0</v>
      </c>
    </row>
    <row r="36" spans="2:3" x14ac:dyDescent="0.25">
      <c r="B36" t="s">
        <v>26</v>
      </c>
      <c r="C36" s="85" t="e">
        <f>1-D25/C25</f>
        <v>#DIV/0!</v>
      </c>
    </row>
    <row r="37" spans="2:3" x14ac:dyDescent="0.25">
      <c r="B37" t="s">
        <v>135</v>
      </c>
      <c r="C37" s="85">
        <f>1-D26/C26</f>
        <v>0</v>
      </c>
    </row>
  </sheetData>
  <mergeCells count="3">
    <mergeCell ref="L4:M4"/>
    <mergeCell ref="B7:J7"/>
    <mergeCell ref="B9:J9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CCFA7-CE30-4110-82FD-F0981195F298}">
  <sheetPr>
    <tabColor theme="2" tint="-0.89999084444715716"/>
  </sheetPr>
  <dimension ref="A1:R40"/>
  <sheetViews>
    <sheetView workbookViewId="0">
      <selection activeCell="E4" sqref="E4"/>
    </sheetView>
  </sheetViews>
  <sheetFormatPr defaultRowHeight="15" x14ac:dyDescent="0.25"/>
  <cols>
    <col min="2" max="2" width="27.5703125" bestFit="1" customWidth="1"/>
    <col min="3" max="3" width="16.5703125" bestFit="1" customWidth="1"/>
    <col min="4" max="4" width="20.5703125" bestFit="1" customWidth="1"/>
    <col min="5" max="5" width="18.5703125" bestFit="1" customWidth="1"/>
    <col min="10" max="10" width="15.42578125" customWidth="1"/>
    <col min="11" max="11" width="25.85546875" bestFit="1" customWidth="1"/>
    <col min="12" max="12" width="11.28515625" bestFit="1" customWidth="1"/>
    <col min="13" max="13" width="32.42578125" bestFit="1" customWidth="1"/>
    <col min="15" max="15" width="9.85546875" bestFit="1" customWidth="1"/>
  </cols>
  <sheetData>
    <row r="1" spans="1:18" x14ac:dyDescent="0.25">
      <c r="A1" t="s">
        <v>138</v>
      </c>
    </row>
    <row r="2" spans="1:18" x14ac:dyDescent="0.25">
      <c r="B2" t="s">
        <v>139</v>
      </c>
      <c r="C2" t="s">
        <v>140</v>
      </c>
      <c r="D2" t="s">
        <v>141</v>
      </c>
      <c r="E2" t="s">
        <v>142</v>
      </c>
      <c r="J2" t="s">
        <v>120</v>
      </c>
    </row>
    <row r="3" spans="1:18" x14ac:dyDescent="0.25">
      <c r="B3" t="s">
        <v>143</v>
      </c>
      <c r="C3" s="14">
        <f>'Adoption and reduction'!C19</f>
        <v>0</v>
      </c>
      <c r="D3" s="14">
        <f>'Adoption and reduction'!C4</f>
        <v>0</v>
      </c>
      <c r="J3" t="s">
        <v>144</v>
      </c>
      <c r="O3" s="14">
        <v>1.5</v>
      </c>
    </row>
    <row r="4" spans="1:18" ht="12" customHeight="1" x14ac:dyDescent="0.25">
      <c r="B4" t="s">
        <v>145</v>
      </c>
      <c r="C4" s="14">
        <f>-C3</f>
        <v>0</v>
      </c>
      <c r="D4" s="14">
        <f>(1-C3)*D3*(O3-1)</f>
        <v>0</v>
      </c>
      <c r="E4" s="14">
        <f>SUM(C4:D4)</f>
        <v>0</v>
      </c>
      <c r="F4" s="14"/>
      <c r="J4" s="35" t="s">
        <v>146</v>
      </c>
      <c r="R4" s="14">
        <v>4</v>
      </c>
    </row>
    <row r="5" spans="1:18" x14ac:dyDescent="0.25">
      <c r="B5" t="s">
        <v>31</v>
      </c>
      <c r="C5" t="s">
        <v>140</v>
      </c>
      <c r="D5" t="s">
        <v>141</v>
      </c>
      <c r="E5" t="s">
        <v>142</v>
      </c>
      <c r="J5" s="35"/>
    </row>
    <row r="6" spans="1:18" x14ac:dyDescent="0.25">
      <c r="B6" t="s">
        <v>143</v>
      </c>
      <c r="C6" s="14">
        <f>'Adoption and reduction'!C19</f>
        <v>0</v>
      </c>
      <c r="D6" s="14">
        <f>'Adoption and reduction'!C6</f>
        <v>0</v>
      </c>
      <c r="J6" s="35"/>
    </row>
    <row r="7" spans="1:18" x14ac:dyDescent="0.25">
      <c r="B7" t="s">
        <v>145</v>
      </c>
      <c r="C7" s="14">
        <f>-C6</f>
        <v>0</v>
      </c>
      <c r="D7" s="33">
        <f>(1-C6)*D6*(O3-1)</f>
        <v>0</v>
      </c>
      <c r="E7" s="14">
        <f>SUM(C7:D7)</f>
        <v>0</v>
      </c>
      <c r="F7" s="14"/>
      <c r="J7" s="35"/>
    </row>
    <row r="8" spans="1:18" x14ac:dyDescent="0.25">
      <c r="B8" t="s">
        <v>30</v>
      </c>
      <c r="C8" t="s">
        <v>140</v>
      </c>
      <c r="D8" t="s">
        <v>141</v>
      </c>
      <c r="E8" t="s">
        <v>142</v>
      </c>
      <c r="J8" s="35"/>
    </row>
    <row r="9" spans="1:18" x14ac:dyDescent="0.25">
      <c r="B9" t="s">
        <v>143</v>
      </c>
      <c r="C9" s="14">
        <f>'Adoption and reduction'!C19</f>
        <v>0</v>
      </c>
      <c r="D9" s="14">
        <f>'Adoption and reduction'!C8</f>
        <v>0</v>
      </c>
      <c r="K9" t="s">
        <v>147</v>
      </c>
      <c r="L9" s="35" t="s">
        <v>148</v>
      </c>
      <c r="M9" t="s">
        <v>149</v>
      </c>
      <c r="N9" t="s">
        <v>150</v>
      </c>
      <c r="O9" t="s">
        <v>107</v>
      </c>
      <c r="P9" t="s">
        <v>151</v>
      </c>
    </row>
    <row r="10" spans="1:18" x14ac:dyDescent="0.25">
      <c r="B10" t="s">
        <v>145</v>
      </c>
      <c r="C10" s="14">
        <f>-C9</f>
        <v>0</v>
      </c>
      <c r="D10" s="14">
        <f>(1-C9)*D9*(O3-1)</f>
        <v>0</v>
      </c>
      <c r="E10" s="14">
        <f>SUM(C10:D10)</f>
        <v>0</v>
      </c>
      <c r="F10" s="14"/>
      <c r="J10" s="35" t="s">
        <v>32</v>
      </c>
      <c r="K10">
        <v>156.9</v>
      </c>
      <c r="L10" s="33">
        <f>K10/SUM($K$10:$K$16)</f>
        <v>0.34922542735042744</v>
      </c>
      <c r="M10">
        <f>'Adoption and reduction'!C24</f>
        <v>54395</v>
      </c>
      <c r="N10">
        <f>M10/$M$17</f>
        <v>0.9000430207161294</v>
      </c>
      <c r="O10">
        <f>K10*M10</f>
        <v>8534575.5</v>
      </c>
      <c r="P10" s="85">
        <f>O10/$O$17</f>
        <v>0.95314440193102246</v>
      </c>
    </row>
    <row r="11" spans="1:18" ht="14.45" customHeight="1" x14ac:dyDescent="0.25">
      <c r="B11" t="s">
        <v>29</v>
      </c>
      <c r="C11" t="s">
        <v>140</v>
      </c>
      <c r="D11" t="s">
        <v>141</v>
      </c>
      <c r="E11" t="s">
        <v>142</v>
      </c>
      <c r="J11" s="34" t="s">
        <v>31</v>
      </c>
      <c r="K11">
        <v>98.5</v>
      </c>
      <c r="L11" s="33">
        <f t="shared" ref="L11:L14" si="0">K11/SUM($K$10:$K$16)</f>
        <v>0.2192396723646724</v>
      </c>
      <c r="M11">
        <f>'Adoption and reduction'!C26</f>
        <v>3610</v>
      </c>
      <c r="N11">
        <f>M11/$M$17</f>
        <v>5.973260970282613E-2</v>
      </c>
      <c r="O11">
        <f>K11*M11</f>
        <v>355585</v>
      </c>
      <c r="P11" s="85">
        <f>O11/$O$17</f>
        <v>3.9711858212589789E-2</v>
      </c>
    </row>
    <row r="12" spans="1:18" x14ac:dyDescent="0.25">
      <c r="B12" t="s">
        <v>143</v>
      </c>
      <c r="C12" s="14">
        <f>'Adoption and reduction'!C19</f>
        <v>0</v>
      </c>
      <c r="D12" s="14">
        <f>'Adoption and reduction'!C10</f>
        <v>0</v>
      </c>
      <c r="J12" s="34" t="s">
        <v>30</v>
      </c>
      <c r="K12">
        <v>71.5</v>
      </c>
      <c r="L12" s="33">
        <f t="shared" si="0"/>
        <v>0.15914351851851855</v>
      </c>
      <c r="M12">
        <f>'Adoption and reduction'!C28</f>
        <v>0</v>
      </c>
      <c r="N12">
        <f>M12/$M$17</f>
        <v>0</v>
      </c>
      <c r="O12">
        <f>K12*M12</f>
        <v>0</v>
      </c>
      <c r="P12" s="85">
        <f>O12/$O$17</f>
        <v>0</v>
      </c>
    </row>
    <row r="13" spans="1:18" ht="15.75" x14ac:dyDescent="0.25">
      <c r="B13" t="s">
        <v>145</v>
      </c>
      <c r="C13" s="14">
        <f>-C12</f>
        <v>0</v>
      </c>
      <c r="D13" s="14">
        <f>(1-C12)*D12*(O3-1)</f>
        <v>0</v>
      </c>
      <c r="E13" s="14">
        <f>SUM(C13:D13)</f>
        <v>0</v>
      </c>
      <c r="F13" s="14"/>
      <c r="J13" t="s">
        <v>29</v>
      </c>
      <c r="K13" s="1">
        <v>53.16</v>
      </c>
      <c r="L13" s="33">
        <f t="shared" si="0"/>
        <v>0.11832264957264958</v>
      </c>
      <c r="M13">
        <f>'Adoption and reduction'!C30</f>
        <v>67</v>
      </c>
      <c r="N13">
        <f t="shared" ref="N13:N14" si="1">M13/$M$17</f>
        <v>1.1086107617976041E-3</v>
      </c>
      <c r="O13">
        <f t="shared" ref="O13:O14" si="2">K13*M13</f>
        <v>3561.72</v>
      </c>
      <c r="P13" s="85">
        <f t="shared" ref="P13:P14" si="3">O13/$O$17</f>
        <v>3.9777414579620989E-4</v>
      </c>
    </row>
    <row r="14" spans="1:18" ht="15.75" x14ac:dyDescent="0.25">
      <c r="B14" t="s">
        <v>28</v>
      </c>
      <c r="C14" t="s">
        <v>140</v>
      </c>
      <c r="D14" t="s">
        <v>141</v>
      </c>
      <c r="E14" t="s">
        <v>142</v>
      </c>
      <c r="J14" t="s">
        <v>28</v>
      </c>
      <c r="K14" s="1">
        <v>28.17</v>
      </c>
      <c r="L14" s="33">
        <f t="shared" si="0"/>
        <v>6.2700320512820526E-2</v>
      </c>
      <c r="M14">
        <f>'Adoption and reduction'!C32</f>
        <v>797</v>
      </c>
      <c r="N14">
        <f t="shared" si="1"/>
        <v>1.318750413660732E-2</v>
      </c>
      <c r="O14">
        <f t="shared" si="2"/>
        <v>22451.49</v>
      </c>
      <c r="P14" s="85">
        <f t="shared" si="3"/>
        <v>2.5073903216991087E-3</v>
      </c>
    </row>
    <row r="15" spans="1:18" x14ac:dyDescent="0.25">
      <c r="B15" t="s">
        <v>143</v>
      </c>
      <c r="C15" s="14">
        <f>'Adoption and reduction'!C19</f>
        <v>0</v>
      </c>
      <c r="D15" s="14">
        <f>'Adoption and reduction'!C12</f>
        <v>0</v>
      </c>
      <c r="J15" s="35" t="s">
        <v>27</v>
      </c>
      <c r="K15">
        <v>24.22</v>
      </c>
      <c r="L15" s="33">
        <f>K15/SUM($K$10:$K$15)</f>
        <v>5.6006474736963817E-2</v>
      </c>
      <c r="M15">
        <f>'Adoption and reduction'!C34</f>
        <v>1567</v>
      </c>
      <c r="N15">
        <f>M15/$M$17</f>
        <v>2.5928254682639488E-2</v>
      </c>
      <c r="O15">
        <f>K15*M15</f>
        <v>37952.74</v>
      </c>
      <c r="P15" s="85">
        <f>O15/$O$17</f>
        <v>4.2385753888923459E-3</v>
      </c>
    </row>
    <row r="16" spans="1:18" ht="15.75" x14ac:dyDescent="0.25">
      <c r="B16" t="s">
        <v>145</v>
      </c>
      <c r="C16" s="14">
        <f>-C15</f>
        <v>0</v>
      </c>
      <c r="D16" s="14">
        <f>(1-C15)*D15*(O3-1)</f>
        <v>0</v>
      </c>
      <c r="E16" s="14">
        <f>SUM(C16:D16)</f>
        <v>0</v>
      </c>
      <c r="J16" t="s">
        <v>26</v>
      </c>
      <c r="K16" s="1">
        <v>16.829999999999998</v>
      </c>
      <c r="L16" s="33">
        <f>K16/SUM($K$10:$K$15)</f>
        <v>3.8917793964620188E-2</v>
      </c>
      <c r="M16">
        <f>'Adoption and reduction'!C36</f>
        <v>0</v>
      </c>
      <c r="N16">
        <f>M16/$M$17</f>
        <v>0</v>
      </c>
      <c r="O16">
        <f>K16*M16</f>
        <v>0</v>
      </c>
      <c r="P16" s="85">
        <f>O16/$O$17</f>
        <v>0</v>
      </c>
    </row>
    <row r="17" spans="2:15" x14ac:dyDescent="0.25">
      <c r="B17" t="s">
        <v>27</v>
      </c>
      <c r="C17" t="s">
        <v>140</v>
      </c>
      <c r="D17" t="s">
        <v>141</v>
      </c>
      <c r="E17" t="s">
        <v>142</v>
      </c>
      <c r="J17" t="s">
        <v>118</v>
      </c>
      <c r="L17" s="14">
        <f>SUM(L10:L16)</f>
        <v>1.0035558570206724</v>
      </c>
      <c r="M17">
        <f>SUM(M10:M16)</f>
        <v>60436</v>
      </c>
      <c r="O17">
        <f>SUM(O10:O16)</f>
        <v>8954126.4500000011</v>
      </c>
    </row>
    <row r="18" spans="2:15" x14ac:dyDescent="0.25">
      <c r="B18" t="s">
        <v>143</v>
      </c>
      <c r="C18" s="14">
        <f>'Adoption and reduction'!C19</f>
        <v>0</v>
      </c>
      <c r="D18" s="14">
        <f>'Adoption and reduction'!C14</f>
        <v>0</v>
      </c>
    </row>
    <row r="19" spans="2:15" x14ac:dyDescent="0.25">
      <c r="B19" t="s">
        <v>145</v>
      </c>
      <c r="C19" s="33">
        <f>-C18</f>
        <v>0</v>
      </c>
      <c r="D19" s="33">
        <f>(1-C18)*D18*(O3-1)</f>
        <v>0</v>
      </c>
      <c r="E19" s="14">
        <f>SUM(C19:D19)</f>
        <v>0</v>
      </c>
    </row>
    <row r="20" spans="2:15" x14ac:dyDescent="0.25">
      <c r="B20" t="s">
        <v>26</v>
      </c>
      <c r="C20" t="s">
        <v>140</v>
      </c>
      <c r="D20" t="s">
        <v>141</v>
      </c>
      <c r="E20" t="s">
        <v>142</v>
      </c>
    </row>
    <row r="21" spans="2:15" x14ac:dyDescent="0.25">
      <c r="B21" t="s">
        <v>143</v>
      </c>
      <c r="C21" s="14">
        <f>'Adoption and reduction'!C19</f>
        <v>0</v>
      </c>
      <c r="D21" s="14">
        <f>'Adoption and reduction'!C16</f>
        <v>0</v>
      </c>
    </row>
    <row r="22" spans="2:15" x14ac:dyDescent="0.25">
      <c r="B22" t="s">
        <v>145</v>
      </c>
      <c r="C22" s="14">
        <f>-C21</f>
        <v>0</v>
      </c>
      <c r="D22" s="14">
        <f>(1-C21)*D21*(O3-1)</f>
        <v>0</v>
      </c>
      <c r="E22" s="14">
        <f>SUM(C22:D22)</f>
        <v>0</v>
      </c>
    </row>
    <row r="25" spans="2:15" x14ac:dyDescent="0.25">
      <c r="B25" t="s">
        <v>152</v>
      </c>
    </row>
    <row r="26" spans="2:15" x14ac:dyDescent="0.25">
      <c r="B26" t="s">
        <v>32</v>
      </c>
      <c r="C26" s="37">
        <f>E4</f>
        <v>0</v>
      </c>
    </row>
    <row r="27" spans="2:15" x14ac:dyDescent="0.25">
      <c r="B27" t="s">
        <v>31</v>
      </c>
      <c r="C27" s="37">
        <f>E7</f>
        <v>0</v>
      </c>
    </row>
    <row r="28" spans="2:15" x14ac:dyDescent="0.25">
      <c r="B28" t="s">
        <v>30</v>
      </c>
      <c r="C28" s="37">
        <f>E10</f>
        <v>0</v>
      </c>
    </row>
    <row r="29" spans="2:15" x14ac:dyDescent="0.25">
      <c r="B29" t="s">
        <v>29</v>
      </c>
      <c r="C29" s="37">
        <f>E13</f>
        <v>0</v>
      </c>
    </row>
    <row r="30" spans="2:15" x14ac:dyDescent="0.25">
      <c r="B30" t="s">
        <v>28</v>
      </c>
      <c r="C30" s="37">
        <f>E16</f>
        <v>0</v>
      </c>
    </row>
    <row r="31" spans="2:15" x14ac:dyDescent="0.25">
      <c r="B31" t="s">
        <v>27</v>
      </c>
      <c r="C31" s="37">
        <f>E19</f>
        <v>0</v>
      </c>
    </row>
    <row r="32" spans="2:15" x14ac:dyDescent="0.25">
      <c r="B32" t="s">
        <v>26</v>
      </c>
      <c r="C32" s="37">
        <f>E22</f>
        <v>0</v>
      </c>
    </row>
    <row r="33" spans="2:3" x14ac:dyDescent="0.25">
      <c r="B33" t="s">
        <v>135</v>
      </c>
      <c r="C33" s="37">
        <f>C35</f>
        <v>0</v>
      </c>
    </row>
    <row r="35" spans="2:3" x14ac:dyDescent="0.25">
      <c r="B35" t="s">
        <v>153</v>
      </c>
      <c r="C35" s="37">
        <f>E4*P10+E7*P11+E10*P12+E13*P13+E16*P14+E19*P15+E22*P16</f>
        <v>0</v>
      </c>
    </row>
    <row r="39" spans="2:3" x14ac:dyDescent="0.25">
      <c r="B39" t="s">
        <v>154</v>
      </c>
      <c r="C39" s="37">
        <f>C4*P10+C7*P11+C10*P12+P13*C13+C16*P14+P15*C19+C22*P16</f>
        <v>0</v>
      </c>
    </row>
    <row r="40" spans="2:3" x14ac:dyDescent="0.25">
      <c r="B40" t="s">
        <v>155</v>
      </c>
      <c r="C40" s="37">
        <f>D4*P10+P11*D7+D10*P12+P13*D13+D16*P14+P15*D19+D22*P16</f>
        <v>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CEDF8-4154-4F14-B125-DFE97ECFD131}">
  <sheetPr>
    <tabColor theme="1"/>
  </sheetPr>
  <dimension ref="A1:Q42"/>
  <sheetViews>
    <sheetView topLeftCell="A13" workbookViewId="0">
      <selection activeCell="F34" sqref="F34"/>
    </sheetView>
  </sheetViews>
  <sheetFormatPr defaultRowHeight="15" x14ac:dyDescent="0.25"/>
  <cols>
    <col min="2" max="2" width="11.7109375" bestFit="1" customWidth="1"/>
    <col min="3" max="3" width="10.140625" bestFit="1" customWidth="1"/>
    <col min="4" max="4" width="16.7109375" bestFit="1" customWidth="1"/>
    <col min="5" max="5" width="18.5703125" bestFit="1" customWidth="1"/>
    <col min="6" max="6" width="17" bestFit="1" customWidth="1"/>
  </cols>
  <sheetData>
    <row r="1" spans="1:17" ht="46.5" x14ac:dyDescent="0.7">
      <c r="A1" s="19" t="s">
        <v>156</v>
      </c>
      <c r="B1" s="19"/>
      <c r="C1" s="2"/>
      <c r="D1" s="2"/>
      <c r="E1" s="20"/>
      <c r="F1" s="20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3" spans="1:17" x14ac:dyDescent="0.25">
      <c r="B3" t="s">
        <v>157</v>
      </c>
    </row>
    <row r="4" spans="1:17" x14ac:dyDescent="0.25">
      <c r="B4" t="s">
        <v>158</v>
      </c>
      <c r="N4" t="s">
        <v>159</v>
      </c>
    </row>
    <row r="5" spans="1:17" x14ac:dyDescent="0.25">
      <c r="B5" t="s">
        <v>160</v>
      </c>
      <c r="N5" t="s">
        <v>161</v>
      </c>
    </row>
    <row r="6" spans="1:17" x14ac:dyDescent="0.25">
      <c r="B6" t="s">
        <v>162</v>
      </c>
      <c r="N6" t="s">
        <v>163</v>
      </c>
    </row>
    <row r="9" spans="1:17" x14ac:dyDescent="0.25">
      <c r="B9" t="s">
        <v>164</v>
      </c>
    </row>
    <row r="10" spans="1:17" x14ac:dyDescent="0.25">
      <c r="B10" t="s">
        <v>165</v>
      </c>
      <c r="C10" t="s">
        <v>166</v>
      </c>
      <c r="D10" t="s">
        <v>167</v>
      </c>
      <c r="E10" t="s">
        <v>168</v>
      </c>
      <c r="F10" t="s">
        <v>169</v>
      </c>
    </row>
    <row r="11" spans="1:17" x14ac:dyDescent="0.25">
      <c r="B11">
        <v>50</v>
      </c>
      <c r="C11">
        <f>'Plastic reduction '!C5</f>
        <v>2.0550000000000002</v>
      </c>
      <c r="D11" s="38">
        <f>'Cost difference'!K10</f>
        <v>156.9</v>
      </c>
      <c r="E11" s="39">
        <f>C11/B11</f>
        <v>4.1100000000000005E-2</v>
      </c>
      <c r="F11" s="39">
        <f>D11/B11</f>
        <v>3.1379999999999999</v>
      </c>
    </row>
    <row r="12" spans="1:17" x14ac:dyDescent="0.25">
      <c r="B12">
        <v>25</v>
      </c>
      <c r="C12">
        <f>'Plastic reduction '!D5</f>
        <v>1.325</v>
      </c>
      <c r="D12" s="38">
        <f>'Cost difference'!K11</f>
        <v>98.5</v>
      </c>
      <c r="E12" s="39">
        <f t="shared" ref="E12:E15" si="0">C12/B12</f>
        <v>5.2999999999999999E-2</v>
      </c>
      <c r="F12" s="39">
        <f t="shared" ref="F12:F15" si="1">D12/B12</f>
        <v>3.94</v>
      </c>
    </row>
    <row r="13" spans="1:17" x14ac:dyDescent="0.25">
      <c r="B13">
        <v>12</v>
      </c>
      <c r="C13">
        <f>'Plastic reduction '!E5</f>
        <v>0.78500000000000003</v>
      </c>
      <c r="D13" s="38">
        <f>'Cost difference'!K12</f>
        <v>71.5</v>
      </c>
      <c r="E13" s="39">
        <f t="shared" si="0"/>
        <v>6.5416666666666665E-2</v>
      </c>
      <c r="F13" s="39">
        <f t="shared" si="1"/>
        <v>5.958333333333333</v>
      </c>
    </row>
    <row r="14" spans="1:17" x14ac:dyDescent="0.25">
      <c r="B14">
        <v>6</v>
      </c>
      <c r="C14">
        <f>'Plastic reduction '!F5</f>
        <v>0.495</v>
      </c>
      <c r="D14">
        <f>'Cost difference'!K13</f>
        <v>53.16</v>
      </c>
      <c r="E14" s="39">
        <f t="shared" si="0"/>
        <v>8.2500000000000004E-2</v>
      </c>
      <c r="F14" s="39">
        <f t="shared" si="1"/>
        <v>8.86</v>
      </c>
    </row>
    <row r="15" spans="1:17" x14ac:dyDescent="0.25">
      <c r="B15">
        <v>3</v>
      </c>
      <c r="C15">
        <f>'Plastic reduction '!G5</f>
        <v>0.26500000000000001</v>
      </c>
      <c r="D15">
        <f>'Cost difference'!K14</f>
        <v>28.17</v>
      </c>
      <c r="E15" s="39">
        <f t="shared" si="0"/>
        <v>8.8333333333333333E-2</v>
      </c>
      <c r="F15" s="39">
        <f t="shared" si="1"/>
        <v>9.39</v>
      </c>
    </row>
    <row r="16" spans="1:17" x14ac:dyDescent="0.25">
      <c r="B16">
        <v>2</v>
      </c>
      <c r="C16">
        <f>'Plastic reduction '!H5</f>
        <v>0.22</v>
      </c>
      <c r="D16" s="38">
        <f>'Cost difference'!K15</f>
        <v>24.22</v>
      </c>
      <c r="E16" s="39">
        <f>C16/B16</f>
        <v>0.11</v>
      </c>
      <c r="F16" s="39">
        <f>D16/B16</f>
        <v>12.11</v>
      </c>
    </row>
    <row r="17" spans="2:6" x14ac:dyDescent="0.25">
      <c r="B17">
        <v>0.5</v>
      </c>
      <c r="C17">
        <f>'Plastic reduction '!I5</f>
        <v>9.0999999999999998E-2</v>
      </c>
      <c r="D17" s="38">
        <f>'Cost difference'!K16</f>
        <v>16.829999999999998</v>
      </c>
      <c r="E17" s="39">
        <f>C17/B17</f>
        <v>0.182</v>
      </c>
      <c r="F17" s="39">
        <f>D17/B17</f>
        <v>33.659999999999997</v>
      </c>
    </row>
    <row r="20" spans="2:6" x14ac:dyDescent="0.25">
      <c r="B20" t="s">
        <v>170</v>
      </c>
      <c r="D20" t="s">
        <v>93</v>
      </c>
      <c r="E20" t="s">
        <v>171</v>
      </c>
      <c r="F20" t="s">
        <v>172</v>
      </c>
    </row>
    <row r="21" spans="2:6" x14ac:dyDescent="0.25">
      <c r="B21" t="s">
        <v>32</v>
      </c>
      <c r="C21">
        <f>'Optimization of waste bins'!C17</f>
        <v>54395</v>
      </c>
      <c r="D21">
        <f>C21*D11</f>
        <v>8534575.5</v>
      </c>
      <c r="E21" t="s">
        <v>42</v>
      </c>
      <c r="F21" s="39">
        <f>F16-F13</f>
        <v>6.1516666666666664</v>
      </c>
    </row>
    <row r="22" spans="2:6" x14ac:dyDescent="0.25">
      <c r="B22" t="s">
        <v>31</v>
      </c>
      <c r="C22">
        <f>'Optimization of waste bins'!C19</f>
        <v>3610</v>
      </c>
      <c r="D22">
        <f>C22*D12</f>
        <v>355585</v>
      </c>
      <c r="E22" t="s">
        <v>43</v>
      </c>
      <c r="F22" s="39">
        <f>F15-F13</f>
        <v>3.4316666666666675</v>
      </c>
    </row>
    <row r="23" spans="2:6" x14ac:dyDescent="0.25">
      <c r="B23" t="s">
        <v>30</v>
      </c>
      <c r="C23">
        <f>'Optimization of waste bins'!C21</f>
        <v>0</v>
      </c>
      <c r="D23">
        <f>C23*D13</f>
        <v>0</v>
      </c>
      <c r="E23" t="s">
        <v>44</v>
      </c>
      <c r="F23" s="39">
        <f>F12-F11</f>
        <v>0.80200000000000005</v>
      </c>
    </row>
    <row r="24" spans="2:6" x14ac:dyDescent="0.25">
      <c r="B24" t="s">
        <v>28</v>
      </c>
      <c r="C24">
        <f>'Optimization of waste bins'!C23</f>
        <v>797</v>
      </c>
      <c r="D24">
        <f>C24*D15</f>
        <v>22451.49</v>
      </c>
    </row>
    <row r="25" spans="2:6" x14ac:dyDescent="0.25">
      <c r="B25" t="s">
        <v>27</v>
      </c>
      <c r="C25">
        <f>'Optimization of waste bins'!C25</f>
        <v>1567</v>
      </c>
      <c r="D25">
        <f>C25*D16</f>
        <v>37952.74</v>
      </c>
    </row>
    <row r="26" spans="2:6" x14ac:dyDescent="0.25">
      <c r="B26" t="s">
        <v>118</v>
      </c>
      <c r="D26">
        <f>SUM(D21:D25)</f>
        <v>8950564.7300000004</v>
      </c>
    </row>
    <row r="32" spans="2:6" x14ac:dyDescent="0.25">
      <c r="B32" t="s">
        <v>40</v>
      </c>
    </row>
    <row r="33" spans="2:8" x14ac:dyDescent="0.25">
      <c r="B33" t="s">
        <v>42</v>
      </c>
      <c r="C33" s="33">
        <f>'Optimization of waste bins'!C5</f>
        <v>0</v>
      </c>
    </row>
    <row r="34" spans="2:8" x14ac:dyDescent="0.25">
      <c r="B34" t="s">
        <v>43</v>
      </c>
      <c r="C34" s="33">
        <f>'Optimization of waste bins'!C7</f>
        <v>0</v>
      </c>
    </row>
    <row r="35" spans="2:8" x14ac:dyDescent="0.25">
      <c r="B35" t="s">
        <v>44</v>
      </c>
      <c r="C35" s="33">
        <f>'Optimization of waste bins'!C9</f>
        <v>0</v>
      </c>
    </row>
    <row r="37" spans="2:8" x14ac:dyDescent="0.25">
      <c r="B37" t="s">
        <v>173</v>
      </c>
      <c r="D37" t="s">
        <v>174</v>
      </c>
      <c r="E37" t="s">
        <v>175</v>
      </c>
    </row>
    <row r="38" spans="2:8" x14ac:dyDescent="0.25">
      <c r="B38" t="s">
        <v>32</v>
      </c>
      <c r="C38">
        <f>C21+D39/2</f>
        <v>54395</v>
      </c>
    </row>
    <row r="39" spans="2:8" x14ac:dyDescent="0.25">
      <c r="B39" t="s">
        <v>31</v>
      </c>
      <c r="C39">
        <f>(1-C35)*C22</f>
        <v>3610</v>
      </c>
      <c r="D39">
        <f>C22-C39</f>
        <v>0</v>
      </c>
      <c r="E39">
        <f>D39*F23*25</f>
        <v>0</v>
      </c>
      <c r="G39" t="s">
        <v>176</v>
      </c>
    </row>
    <row r="40" spans="2:8" x14ac:dyDescent="0.25">
      <c r="B40" t="s">
        <v>30</v>
      </c>
      <c r="C40">
        <f>C23+D42/6+D41/4</f>
        <v>0</v>
      </c>
      <c r="H40">
        <f>E39+E42+E41</f>
        <v>0</v>
      </c>
    </row>
    <row r="41" spans="2:8" x14ac:dyDescent="0.25">
      <c r="B41" t="s">
        <v>28</v>
      </c>
      <c r="C41">
        <f>(1-C34)*C24</f>
        <v>797</v>
      </c>
      <c r="D41">
        <f>C24-C41</f>
        <v>0</v>
      </c>
      <c r="E41">
        <f>D41*F22*3</f>
        <v>0</v>
      </c>
      <c r="G41" t="s">
        <v>177</v>
      </c>
      <c r="H41" s="33">
        <f>H40/D26</f>
        <v>0</v>
      </c>
    </row>
    <row r="42" spans="2:8" x14ac:dyDescent="0.25">
      <c r="B42" t="s">
        <v>27</v>
      </c>
      <c r="C42">
        <f>(1-C33)*C25</f>
        <v>1567</v>
      </c>
      <c r="D42">
        <f>C25-C42</f>
        <v>0</v>
      </c>
      <c r="E42">
        <f>D42*F21*2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59032-ED17-4F61-8E36-0D0FAA6F7B60}">
  <sheetPr>
    <tabColor theme="1"/>
  </sheetPr>
  <dimension ref="C2:E11"/>
  <sheetViews>
    <sheetView workbookViewId="0">
      <selection activeCell="E19" sqref="E19"/>
    </sheetView>
  </sheetViews>
  <sheetFormatPr defaultRowHeight="15" x14ac:dyDescent="0.25"/>
  <cols>
    <col min="3" max="3" width="19.5703125" bestFit="1" customWidth="1"/>
    <col min="4" max="4" width="15.5703125" bestFit="1" customWidth="1"/>
    <col min="5" max="5" width="12.28515625" bestFit="1" customWidth="1"/>
  </cols>
  <sheetData>
    <row r="2" spans="3:5" x14ac:dyDescent="0.25">
      <c r="C2" t="s">
        <v>178</v>
      </c>
    </row>
    <row r="3" spans="3:5" x14ac:dyDescent="0.25">
      <c r="C3" t="s">
        <v>132</v>
      </c>
      <c r="D3" t="s">
        <v>179</v>
      </c>
      <c r="E3" t="s">
        <v>67</v>
      </c>
    </row>
    <row r="4" spans="3:5" x14ac:dyDescent="0.25">
      <c r="C4" t="s">
        <v>32</v>
      </c>
      <c r="D4" s="33">
        <f>'Plastic reduction '!C30</f>
        <v>0</v>
      </c>
      <c r="E4" s="33">
        <f>IF(ISERROR(D4),0,ABS('Cost difference'!C26))</f>
        <v>0</v>
      </c>
    </row>
    <row r="5" spans="3:5" x14ac:dyDescent="0.25">
      <c r="C5" t="s">
        <v>31</v>
      </c>
      <c r="D5" s="33">
        <f>'Plastic reduction '!C31</f>
        <v>0</v>
      </c>
      <c r="E5" s="33">
        <f>IF(ISERROR(D5),0,ABS('Cost difference'!C27))</f>
        <v>0</v>
      </c>
    </row>
    <row r="6" spans="3:5" x14ac:dyDescent="0.25">
      <c r="C6" t="s">
        <v>30</v>
      </c>
      <c r="D6" s="33" t="e">
        <f>'Plastic reduction '!C32</f>
        <v>#DIV/0!</v>
      </c>
      <c r="E6" s="33">
        <f>IF(ISERROR(D6),0,ABS('Cost difference'!C28))</f>
        <v>0</v>
      </c>
    </row>
    <row r="7" spans="3:5" x14ac:dyDescent="0.25">
      <c r="C7" t="s">
        <v>29</v>
      </c>
      <c r="D7" s="33">
        <f>'Plastic reduction '!C33</f>
        <v>0</v>
      </c>
      <c r="E7" s="33">
        <f>IF(ISERROR(D7),0,ABS('Cost difference'!C29))</f>
        <v>0</v>
      </c>
    </row>
    <row r="8" spans="3:5" x14ac:dyDescent="0.25">
      <c r="C8" t="s">
        <v>28</v>
      </c>
      <c r="D8" s="33">
        <f>'Plastic reduction '!C34</f>
        <v>0</v>
      </c>
      <c r="E8" s="33">
        <f>IF(ISERROR(D8),0,ABS('Cost difference'!C30))</f>
        <v>0</v>
      </c>
    </row>
    <row r="9" spans="3:5" x14ac:dyDescent="0.25">
      <c r="C9" t="s">
        <v>27</v>
      </c>
      <c r="D9" s="33">
        <f>'Plastic reduction '!C35</f>
        <v>0</v>
      </c>
      <c r="E9" s="33">
        <f>IF(ISERROR(D9),0,ABS('Cost difference'!C31))</f>
        <v>0</v>
      </c>
    </row>
    <row r="10" spans="3:5" x14ac:dyDescent="0.25">
      <c r="C10" t="s">
        <v>26</v>
      </c>
      <c r="D10" s="33" t="e">
        <f>'Plastic reduction '!C36</f>
        <v>#DIV/0!</v>
      </c>
      <c r="E10" s="33">
        <f>IF(ISERROR(D10),0,ABS('Cost difference'!C32))</f>
        <v>0</v>
      </c>
    </row>
    <row r="11" spans="3:5" x14ac:dyDescent="0.25">
      <c r="C11" t="s">
        <v>135</v>
      </c>
      <c r="D11" s="33">
        <f>'Plastic reduction '!C37</f>
        <v>0</v>
      </c>
      <c r="E11" s="33">
        <f>IF(ISERROR(D11),0,ABS('Cost difference'!C33))</f>
        <v>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757BE-D4AA-4DB6-BDF0-8666A78F8E46}">
  <sheetPr>
    <tabColor theme="1"/>
  </sheetPr>
  <dimension ref="A1:Q34"/>
  <sheetViews>
    <sheetView workbookViewId="0">
      <selection activeCell="D22" sqref="D22"/>
    </sheetView>
  </sheetViews>
  <sheetFormatPr defaultRowHeight="15" x14ac:dyDescent="0.25"/>
  <cols>
    <col min="4" max="4" width="16.42578125" bestFit="1" customWidth="1"/>
    <col min="8" max="8" width="13" bestFit="1" customWidth="1"/>
    <col min="10" max="10" width="10.140625" customWidth="1"/>
  </cols>
  <sheetData>
    <row r="1" spans="1:17" ht="46.5" x14ac:dyDescent="0.7">
      <c r="A1" s="19" t="s">
        <v>156</v>
      </c>
      <c r="B1" s="19"/>
      <c r="C1" s="2"/>
      <c r="D1" s="2"/>
      <c r="E1" s="20"/>
      <c r="F1" s="20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25">
      <c r="A2" t="s">
        <v>180</v>
      </c>
    </row>
    <row r="3" spans="1:17" x14ac:dyDescent="0.25">
      <c r="B3" t="s">
        <v>157</v>
      </c>
      <c r="D3" t="s">
        <v>181</v>
      </c>
    </row>
    <row r="4" spans="1:17" x14ac:dyDescent="0.25">
      <c r="B4" t="s">
        <v>158</v>
      </c>
      <c r="D4" t="s">
        <v>32</v>
      </c>
      <c r="E4">
        <f>'Plastic reduction '!C5</f>
        <v>2.0550000000000002</v>
      </c>
      <c r="N4" t="s">
        <v>159</v>
      </c>
    </row>
    <row r="5" spans="1:17" x14ac:dyDescent="0.25">
      <c r="B5" t="s">
        <v>160</v>
      </c>
      <c r="D5" t="s">
        <v>31</v>
      </c>
      <c r="E5">
        <f>'Plastic reduction '!D5</f>
        <v>1.325</v>
      </c>
      <c r="N5" t="s">
        <v>161</v>
      </c>
    </row>
    <row r="6" spans="1:17" x14ac:dyDescent="0.25">
      <c r="B6" t="s">
        <v>162</v>
      </c>
      <c r="D6" t="s">
        <v>30</v>
      </c>
      <c r="E6">
        <f>'Plastic reduction '!E5</f>
        <v>0.78500000000000003</v>
      </c>
      <c r="N6" t="s">
        <v>163</v>
      </c>
    </row>
    <row r="7" spans="1:17" x14ac:dyDescent="0.25">
      <c r="D7" t="s">
        <v>28</v>
      </c>
      <c r="E7">
        <f>'Plastic reduction '!G5</f>
        <v>0.26500000000000001</v>
      </c>
    </row>
    <row r="8" spans="1:17" x14ac:dyDescent="0.25">
      <c r="D8" t="s">
        <v>27</v>
      </c>
      <c r="E8">
        <f>'Plastic reduction '!H5</f>
        <v>0.22</v>
      </c>
    </row>
    <row r="9" spans="1:17" x14ac:dyDescent="0.25">
      <c r="G9" t="s">
        <v>182</v>
      </c>
      <c r="J9" t="s">
        <v>183</v>
      </c>
    </row>
    <row r="10" spans="1:17" x14ac:dyDescent="0.25">
      <c r="G10" t="s">
        <v>184</v>
      </c>
      <c r="H10" t="s">
        <v>185</v>
      </c>
      <c r="J10" t="s">
        <v>42</v>
      </c>
      <c r="K10" s="39">
        <f>H15-H13</f>
        <v>6.7083333333333342E-2</v>
      </c>
    </row>
    <row r="11" spans="1:17" x14ac:dyDescent="0.25">
      <c r="G11">
        <v>50</v>
      </c>
      <c r="H11">
        <f>E4/G11</f>
        <v>4.1100000000000005E-2</v>
      </c>
      <c r="J11" t="s">
        <v>43</v>
      </c>
      <c r="K11" s="39">
        <f>H14-H13</f>
        <v>2.2916666666666669E-2</v>
      </c>
    </row>
    <row r="12" spans="1:17" x14ac:dyDescent="0.25">
      <c r="G12">
        <v>25</v>
      </c>
      <c r="H12">
        <f t="shared" ref="H12" si="0">E5/G12</f>
        <v>5.2999999999999999E-2</v>
      </c>
      <c r="J12" t="s">
        <v>44</v>
      </c>
      <c r="K12">
        <f>H12-H11</f>
        <v>1.1899999999999994E-2</v>
      </c>
    </row>
    <row r="13" spans="1:17" x14ac:dyDescent="0.25">
      <c r="G13">
        <v>12</v>
      </c>
      <c r="H13" s="39">
        <f>E6/G13</f>
        <v>6.5416666666666665E-2</v>
      </c>
    </row>
    <row r="14" spans="1:17" x14ac:dyDescent="0.25">
      <c r="G14">
        <v>3</v>
      </c>
      <c r="H14">
        <f>E7/G14</f>
        <v>8.8333333333333333E-2</v>
      </c>
    </row>
    <row r="15" spans="1:17" x14ac:dyDescent="0.25">
      <c r="B15" t="s">
        <v>186</v>
      </c>
      <c r="C15" t="s">
        <v>187</v>
      </c>
      <c r="D15" t="s">
        <v>188</v>
      </c>
      <c r="G15">
        <v>2</v>
      </c>
      <c r="H15">
        <f>E7/G15</f>
        <v>0.13250000000000001</v>
      </c>
    </row>
    <row r="16" spans="1:17" x14ac:dyDescent="0.25">
      <c r="B16" t="s">
        <v>32</v>
      </c>
      <c r="C16">
        <f>'Cost-savings optimization'!C21</f>
        <v>54395</v>
      </c>
      <c r="D16">
        <f>C16*E4</f>
        <v>111781.72500000001</v>
      </c>
    </row>
    <row r="17" spans="2:8" x14ac:dyDescent="0.25">
      <c r="B17" t="s">
        <v>31</v>
      </c>
      <c r="C17">
        <f>'Cost-savings optimization'!C22</f>
        <v>3610</v>
      </c>
      <c r="D17">
        <f>C17*E5</f>
        <v>4783.25</v>
      </c>
    </row>
    <row r="18" spans="2:8" x14ac:dyDescent="0.25">
      <c r="B18" t="s">
        <v>30</v>
      </c>
      <c r="C18">
        <f>'Cost-savings optimization'!C23</f>
        <v>0</v>
      </c>
      <c r="D18">
        <f t="shared" ref="D18" si="1">C18*E6</f>
        <v>0</v>
      </c>
    </row>
    <row r="19" spans="2:8" x14ac:dyDescent="0.25">
      <c r="B19" t="s">
        <v>28</v>
      </c>
      <c r="C19">
        <f>'Cost-savings optimization'!C24</f>
        <v>797</v>
      </c>
      <c r="D19">
        <f>C19*E7</f>
        <v>211.20500000000001</v>
      </c>
    </row>
    <row r="20" spans="2:8" x14ac:dyDescent="0.25">
      <c r="B20" t="s">
        <v>27</v>
      </c>
      <c r="C20">
        <f>'Cost-savings optimization'!C25</f>
        <v>1567</v>
      </c>
      <c r="D20">
        <f>C20*E7</f>
        <v>415.255</v>
      </c>
    </row>
    <row r="21" spans="2:8" x14ac:dyDescent="0.25">
      <c r="B21" t="s">
        <v>189</v>
      </c>
      <c r="D21">
        <f>SUM(D16:D20)</f>
        <v>117191.43500000001</v>
      </c>
    </row>
    <row r="24" spans="2:8" x14ac:dyDescent="0.25">
      <c r="B24" t="s">
        <v>40</v>
      </c>
    </row>
    <row r="25" spans="2:8" x14ac:dyDescent="0.25">
      <c r="B25" t="s">
        <v>42</v>
      </c>
      <c r="C25" s="14">
        <f>'Cost-savings optimization'!C33</f>
        <v>0</v>
      </c>
    </row>
    <row r="26" spans="2:8" x14ac:dyDescent="0.25">
      <c r="B26" t="s">
        <v>43</v>
      </c>
      <c r="C26" s="14">
        <f>'Cost-savings optimization'!C34</f>
        <v>0</v>
      </c>
    </row>
    <row r="27" spans="2:8" x14ac:dyDescent="0.25">
      <c r="B27" t="s">
        <v>44</v>
      </c>
      <c r="C27" s="14">
        <f>'Cost-savings optimization'!C35</f>
        <v>0</v>
      </c>
    </row>
    <row r="29" spans="2:8" x14ac:dyDescent="0.25">
      <c r="B29" t="s">
        <v>47</v>
      </c>
      <c r="D29" t="s">
        <v>190</v>
      </c>
      <c r="E29" t="s">
        <v>191</v>
      </c>
    </row>
    <row r="30" spans="2:8" x14ac:dyDescent="0.25">
      <c r="B30" t="s">
        <v>32</v>
      </c>
      <c r="C30">
        <f>C16+D31/2</f>
        <v>54395</v>
      </c>
      <c r="H30" t="s">
        <v>192</v>
      </c>
    </row>
    <row r="31" spans="2:8" x14ac:dyDescent="0.25">
      <c r="B31" t="s">
        <v>31</v>
      </c>
      <c r="C31">
        <f>(1-C27)*C17</f>
        <v>3610</v>
      </c>
      <c r="D31">
        <f>C17-C31</f>
        <v>0</v>
      </c>
      <c r="E31">
        <f>D31*K12*25</f>
        <v>0</v>
      </c>
      <c r="H31">
        <f>SUM(E30:E34)</f>
        <v>0</v>
      </c>
    </row>
    <row r="32" spans="2:8" x14ac:dyDescent="0.25">
      <c r="B32" t="s">
        <v>30</v>
      </c>
      <c r="C32">
        <f>C18+D34/6+D33/4</f>
        <v>0</v>
      </c>
      <c r="H32" t="s">
        <v>193</v>
      </c>
    </row>
    <row r="33" spans="2:8" x14ac:dyDescent="0.25">
      <c r="B33" t="s">
        <v>28</v>
      </c>
      <c r="C33">
        <f>(1-C26)*C19</f>
        <v>797</v>
      </c>
      <c r="D33">
        <f>C19-C33</f>
        <v>0</v>
      </c>
      <c r="E33">
        <f>D33*K11*3</f>
        <v>0</v>
      </c>
      <c r="H33" s="85">
        <f>H31/D21</f>
        <v>0</v>
      </c>
    </row>
    <row r="34" spans="2:8" x14ac:dyDescent="0.25">
      <c r="B34" t="s">
        <v>27</v>
      </c>
      <c r="C34">
        <f>(1-C25)*C20</f>
        <v>1567</v>
      </c>
      <c r="D34">
        <f>C20-C34</f>
        <v>0</v>
      </c>
      <c r="E34">
        <f>D34*K10*2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AD9C3-D377-40D3-8B5F-1C4C965AE1E0}">
  <sheetPr>
    <tabColor theme="1"/>
  </sheetPr>
  <dimension ref="D11:E12"/>
  <sheetViews>
    <sheetView workbookViewId="0">
      <selection activeCell="H24" sqref="H24"/>
    </sheetView>
  </sheetViews>
  <sheetFormatPr defaultRowHeight="15" x14ac:dyDescent="0.25"/>
  <cols>
    <col min="4" max="4" width="12.7109375" bestFit="1" customWidth="1"/>
  </cols>
  <sheetData>
    <row r="11" spans="4:5" x14ac:dyDescent="0.25">
      <c r="D11" t="s">
        <v>194</v>
      </c>
      <c r="E11" s="14">
        <f>'Plastic-savings optimization'!H33</f>
        <v>0</v>
      </c>
    </row>
    <row r="12" spans="4:5" x14ac:dyDescent="0.25">
      <c r="D12" t="s">
        <v>195</v>
      </c>
      <c r="E12" s="14">
        <f>'Cost-savings optimization'!H41</f>
        <v>0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ACB5D-0E97-4175-AA26-89A5BD1E98D4}">
  <dimension ref="C3"/>
  <sheetViews>
    <sheetView workbookViewId="0">
      <selection activeCell="D7" sqref="D7"/>
    </sheetView>
  </sheetViews>
  <sheetFormatPr defaultRowHeight="15" x14ac:dyDescent="0.25"/>
  <sheetData>
    <row r="3" spans="3:3" x14ac:dyDescent="0.25">
      <c r="C3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Total Reduction </vt:lpstr>
      <vt:lpstr>Workshop Uppsala</vt:lpstr>
      <vt:lpstr>Backend --&gt; </vt:lpstr>
      <vt:lpstr>Optimization of waste bins</vt:lpstr>
      <vt:lpstr>Adoption and reduction</vt:lpstr>
      <vt:lpstr>Gloves</vt:lpstr>
      <vt:lpstr>CO2</vt:lpstr>
      <vt:lpstr>Total reduction visuals</vt:lpstr>
      <vt:lpstr>Plastic reduction </vt:lpstr>
      <vt:lpstr>Cost difference</vt:lpstr>
      <vt:lpstr>Cost-savings optimization</vt:lpstr>
      <vt:lpstr>Spend vs. activity based visual</vt:lpstr>
      <vt:lpstr>Plastic-savings optimization</vt:lpstr>
      <vt:lpstr>Optimization</vt:lpstr>
      <vt:lpstr>Testing if it's offline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Jeanette Frycklund</dc:creator>
  <cp:keywords/>
  <dc:description/>
  <cp:lastModifiedBy>Firat Sivaslioglu</cp:lastModifiedBy>
  <cp:revision/>
  <dcterms:created xsi:type="dcterms:W3CDTF">2026-03-26T09:58:15Z</dcterms:created>
  <dcterms:modified xsi:type="dcterms:W3CDTF">2026-04-08T09:05:58Z</dcterms:modified>
  <cp:category/>
  <cp:contentStatus/>
</cp:coreProperties>
</file>