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ants" sheetId="1" r:id="rId5"/>
    <sheet state="visible" name="Impact" sheetId="2" r:id="rId6"/>
    <sheet state="visible" name="Logic" sheetId="3" r:id="rId7"/>
    <sheet state="visible" name="Scenarios" sheetId="4" r:id="rId8"/>
  </sheets>
  <definedNames/>
  <calcPr/>
</workbook>
</file>

<file path=xl/sharedStrings.xml><?xml version="1.0" encoding="utf-8"?>
<sst xmlns="http://schemas.openxmlformats.org/spreadsheetml/2006/main" count="111" uniqueCount="88">
  <si>
    <r>
      <rPr>
        <rFont val="Arial"/>
        <b/>
        <color theme="1"/>
      </rPr>
      <t>Note:</t>
    </r>
    <r>
      <rPr>
        <rFont val="Arial"/>
        <color theme="1"/>
      </rPr>
      <t xml:space="preserve"> Maps the physical weights from the source Excel workbook to the specific keys used in calculator.js.</t>
    </r>
  </si>
  <si>
    <t>Category</t>
  </si>
  <si>
    <t>Sub-Category</t>
  </si>
  <si>
    <t>Baseline_Weight (kg)</t>
  </si>
  <si>
    <t>JS_Variable_Name</t>
  </si>
  <si>
    <t>Unit</t>
  </si>
  <si>
    <t>Mapping_Note</t>
  </si>
  <si>
    <t>Waste Bins</t>
  </si>
  <si>
    <t>Small (Source R13)</t>
  </si>
  <si>
    <t>bins_small.row13</t>
  </si>
  <si>
    <t>kg</t>
  </si>
  <si>
    <t>Baseline weight for standard clinical bins.</t>
  </si>
  <si>
    <t>Small (Source R14)</t>
  </si>
  <si>
    <t>bins_small.row14</t>
  </si>
  <si>
    <t>Secondary baseline for small bins.</t>
  </si>
  <si>
    <t>Gloves</t>
  </si>
  <si>
    <t>Total</t>
  </si>
  <si>
    <t>gloves.total</t>
  </si>
  <si>
    <t>Primary plastic weight for glove consumables.</t>
  </si>
  <si>
    <t>Pipette Tips</t>
  </si>
  <si>
    <t>Large</t>
  </si>
  <si>
    <t>pipettes.row13</t>
  </si>
  <si>
    <t>Large volume tips baseline.</t>
  </si>
  <si>
    <t>Medium</t>
  </si>
  <si>
    <t>pipettes.row14</t>
  </si>
  <si>
    <t>Medium volume tips baseline.</t>
  </si>
  <si>
    <t>Small</t>
  </si>
  <si>
    <t>pipettes.row15</t>
  </si>
  <si>
    <t>Small volume tips baseline.</t>
  </si>
  <si>
    <t>Tubes</t>
  </si>
  <si>
    <t>tubes.row13</t>
  </si>
  <si>
    <t>Centrifuge/sample tubes baseline.</t>
  </si>
  <si>
    <t>tubes.row14</t>
  </si>
  <si>
    <t>Microtubes baseline.</t>
  </si>
  <si>
    <t>Cell Culture</t>
  </si>
  <si>
    <t>cell_culture.total</t>
  </si>
  <si>
    <t>Aggregated cell culture plastic weight.</t>
  </si>
  <si>
    <r>
      <rPr>
        <rFont val="Arial"/>
        <b/>
        <color theme="1"/>
      </rPr>
      <t>Note</t>
    </r>
    <r>
      <rPr>
        <rFont val="Arial"/>
        <color theme="1"/>
      </rPr>
      <t>: Defines the coefficients for carbon avoidance and the reduction efficiency of specific interventions.</t>
    </r>
  </si>
  <si>
    <t>CO2_Factor (kgCO2e/kg)</t>
  </si>
  <si>
    <t>Reduction_Effect_Coeff</t>
  </si>
  <si>
    <t>Logic_Description</t>
  </si>
  <si>
    <t>Clinical Bins</t>
  </si>
  <si>
    <t>bins</t>
  </si>
  <si>
    <t>WoodSafe Effect: 20% residual plastic remains after 100% substitution.</t>
  </si>
  <si>
    <t>gloves</t>
  </si>
  <si>
    <t>Direct Reduction: 1:1 ratio for plastic removed.</t>
  </si>
  <si>
    <t>pipettes</t>
  </si>
  <si>
    <t>Biobased Logic: Material swap only; fossil reduction efficiency set to 0.</t>
  </si>
  <si>
    <t>tubes</t>
  </si>
  <si>
    <t>Biobased Logic: Focus is on lifecycle weight.</t>
  </si>
  <si>
    <t>cell_culture</t>
  </si>
  <si>
    <t>Biobased Logic: Fossil-free material substitution.</t>
  </si>
  <si>
    <r>
      <rPr>
        <rFont val="Arial"/>
        <b/>
        <color theme="1"/>
      </rPr>
      <t>Note:</t>
    </r>
    <r>
      <rPr>
        <rFont val="Arial"/>
        <color theme="1"/>
      </rPr>
      <t xml:space="preserve"> Plain English formulas for the AI Agent to implement in the calculate() method.</t>
    </r>
  </si>
  <si>
    <t>Result Field</t>
  </si>
  <si>
    <t>JS_Result_Variable</t>
  </si>
  <si>
    <t>Plain English Logic</t>
  </si>
  <si>
    <t>Statistical Formula</t>
  </si>
  <si>
    <t>Remaining Weight</t>
  </si>
  <si>
    <t>remainingWeight</t>
  </si>
  <si>
    <t>Deduct user reduction from baseline, adjusting for category-specific residual plastic.</t>
  </si>
  <si>
    <t>Baseline * (1 - (Input% * (1 - Effect_Coeff)))</t>
  </si>
  <si>
    <t>Plastic Saved</t>
  </si>
  <si>
    <t>plasticSaved</t>
  </si>
  <si>
    <t>The difference between 100kg baseline and the total remaining weight, scaled by site intensity.</t>
  </si>
  <si>
    <t>(Baseline_Total - Remaining_Total) * Intensity</t>
  </si>
  <si>
    <t>Carbon Avoided</t>
  </si>
  <si>
    <t>carbonAvoided</t>
  </si>
  <si>
    <t>Sum of kg saved per category multiplied by its unique CO2 factor.</t>
  </si>
  <si>
    <t>Σ(Category_Saved_kg * CO2_Factor)</t>
  </si>
  <si>
    <t>Cost Difference</t>
  </si>
  <si>
    <t>costDifference</t>
  </si>
  <si>
    <t>Sum of saved weights multiplied by the specific stakeholder's cost ratio.</t>
  </si>
  <si>
    <t>Σ(Category_Saved_kg * Stakeholder_Ratio)</t>
  </si>
  <si>
    <r>
      <rPr>
        <rFont val="Arial"/>
        <b/>
        <color theme="1"/>
      </rPr>
      <t xml:space="preserve">Note: </t>
    </r>
    <r>
      <rPr>
        <rFont val="Arial"/>
        <color theme="1"/>
      </rPr>
      <t>Ensures faders reset to statistically consistent starting points.</t>
    </r>
  </si>
  <si>
    <t>Scenario Name</t>
  </si>
  <si>
    <t>JS_Key</t>
  </si>
  <si>
    <t>Bins (S/L)</t>
  </si>
  <si>
    <t>Pipettes</t>
  </si>
  <si>
    <t>Culture</t>
  </si>
  <si>
    <t>Baseline</t>
  </si>
  <si>
    <t>baseline</t>
  </si>
  <si>
    <t>Moderate</t>
  </si>
  <si>
    <t>moderate</t>
  </si>
  <si>
    <t>Aggressive</t>
  </si>
  <si>
    <t>aggressive</t>
  </si>
  <si>
    <t>Default</t>
  </si>
  <si>
    <t>default</t>
  </si>
  <si>
    <t>70/90%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</si>
</sst>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onsta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mpa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enar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11" displayName="Table1_Material_Baseline_Weights" name="Table1_Material_Baseline_Weights" id="1">
  <tableColumns count="6">
    <tableColumn name="Category" id="1"/>
    <tableColumn name="Sub-Category" id="2"/>
    <tableColumn name="Baseline_Weight (kg)" id="3"/>
    <tableColumn name="JS_Variable_Name" id="4"/>
    <tableColumn name="Unit" id="5"/>
    <tableColumn name="Mapping_Note" id="6"/>
  </tableColumns>
  <tableStyleInfo name="Constants-style" showColumnStripes="0" showFirstColumn="1" showLastColumn="1" showRowStripes="1"/>
</table>
</file>

<file path=xl/tables/table2.xml><?xml version="1.0" encoding="utf-8"?>
<table xmlns="http://schemas.openxmlformats.org/spreadsheetml/2006/main" ref="A2:E7" displayName="_Table2_Environmental_Impact_and_Reduction_Coefficients" name="_Table2_Environmental_Impact_and_Reduction_Coefficients" id="2">
  <tableColumns count="5">
    <tableColumn name="Category" id="1"/>
    <tableColumn name="JS_Variable_Name" id="2"/>
    <tableColumn name="CO2_Factor (kgCO2e/kg)" id="3"/>
    <tableColumn name="Reduction_Effect_Coeff" id="4"/>
    <tableColumn name="Logic_Description" id="5"/>
  </tableColumns>
  <tableStyleInfo name="Impact-style" showColumnStripes="0" showFirstColumn="1" showLastColumn="1" showRowStripes="1"/>
</table>
</file>

<file path=xl/tables/table3.xml><?xml version="1.0" encoding="utf-8"?>
<table xmlns="http://schemas.openxmlformats.org/spreadsheetml/2006/main" ref="A2:D6" displayName="Table3_Logic_Engine_and_Formula_Specificatio" name="Table3_Logic_Engine_and_Formula_Specificatio" id="3">
  <tableColumns count="4">
    <tableColumn name="Result Field" id="1"/>
    <tableColumn name="JS_Result_Variable" id="2"/>
    <tableColumn name="Plain English Logic" id="3"/>
    <tableColumn name="Statistical Formula" id="4"/>
  </tableColumns>
  <tableStyleInfo name="Logic-style" showColumnStripes="0" showFirstColumn="1" showLastColumn="1" showRowStripes="1"/>
</table>
</file>

<file path=xl/tables/table4.xml><?xml version="1.0" encoding="utf-8"?>
<table xmlns="http://schemas.openxmlformats.org/spreadsheetml/2006/main" ref="A2:G6" displayName="Table1" name="Table1" id="4">
  <tableColumns count="7">
    <tableColumn name="Scenario Name" id="1"/>
    <tableColumn name="JS_Key" id="2"/>
    <tableColumn name="Bins (S/L)" id="3"/>
    <tableColumn name="Gloves" id="4"/>
    <tableColumn name="Pipettes" id="5"/>
    <tableColumn name="Tubes" id="6"/>
    <tableColumn name="Culture" id="7"/>
  </tableColumns>
  <tableStyleInfo name="Scen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4.5"/>
    <col customWidth="1" min="4" max="4" width="19.38"/>
    <col customWidth="1" min="6" max="6" width="36.75"/>
  </cols>
  <sheetData>
    <row r="1">
      <c r="C1" s="1" t="s">
        <v>0</v>
      </c>
    </row>
    <row r="2" ht="22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2.5" customHeight="1">
      <c r="A3" s="3" t="s">
        <v>7</v>
      </c>
      <c r="B3" s="4" t="s">
        <v>8</v>
      </c>
      <c r="C3" s="5">
        <v>24.09</v>
      </c>
      <c r="D3" s="6" t="s">
        <v>9</v>
      </c>
      <c r="E3" s="4" t="s">
        <v>10</v>
      </c>
      <c r="F3" s="4" t="s">
        <v>11</v>
      </c>
    </row>
    <row r="4" ht="22.5" customHeight="1">
      <c r="A4" s="3" t="s">
        <v>7</v>
      </c>
      <c r="B4" s="4" t="s">
        <v>12</v>
      </c>
      <c r="C4" s="5">
        <v>6.35</v>
      </c>
      <c r="D4" s="6" t="s">
        <v>13</v>
      </c>
      <c r="E4" s="4" t="s">
        <v>10</v>
      </c>
      <c r="F4" s="4" t="s">
        <v>14</v>
      </c>
    </row>
    <row r="5" ht="22.5" customHeight="1">
      <c r="A5" s="3" t="s">
        <v>15</v>
      </c>
      <c r="B5" s="4" t="s">
        <v>16</v>
      </c>
      <c r="C5" s="5">
        <v>29.49</v>
      </c>
      <c r="D5" s="6" t="s">
        <v>17</v>
      </c>
      <c r="E5" s="4" t="s">
        <v>10</v>
      </c>
      <c r="F5" s="4" t="s">
        <v>18</v>
      </c>
    </row>
    <row r="6" ht="22.5" customHeight="1">
      <c r="A6" s="3" t="s">
        <v>19</v>
      </c>
      <c r="B6" s="4" t="s">
        <v>20</v>
      </c>
      <c r="C6" s="5">
        <v>10.94</v>
      </c>
      <c r="D6" s="6" t="s">
        <v>21</v>
      </c>
      <c r="E6" s="4" t="s">
        <v>10</v>
      </c>
      <c r="F6" s="4" t="s">
        <v>22</v>
      </c>
    </row>
    <row r="7" ht="22.5" customHeight="1">
      <c r="A7" s="3" t="s">
        <v>19</v>
      </c>
      <c r="B7" s="4" t="s">
        <v>23</v>
      </c>
      <c r="C7" s="5">
        <v>7.29</v>
      </c>
      <c r="D7" s="6" t="s">
        <v>24</v>
      </c>
      <c r="E7" s="4" t="s">
        <v>10</v>
      </c>
      <c r="F7" s="4" t="s">
        <v>25</v>
      </c>
    </row>
    <row r="8" ht="22.5" customHeight="1">
      <c r="A8" s="3" t="s">
        <v>19</v>
      </c>
      <c r="B8" s="4" t="s">
        <v>26</v>
      </c>
      <c r="C8" s="5">
        <v>0.41</v>
      </c>
      <c r="D8" s="6" t="s">
        <v>27</v>
      </c>
      <c r="E8" s="4" t="s">
        <v>10</v>
      </c>
      <c r="F8" s="4" t="s">
        <v>28</v>
      </c>
    </row>
    <row r="9" ht="22.5" customHeight="1">
      <c r="A9" s="3" t="s">
        <v>29</v>
      </c>
      <c r="B9" s="4" t="s">
        <v>20</v>
      </c>
      <c r="C9" s="5">
        <v>10.91</v>
      </c>
      <c r="D9" s="6" t="s">
        <v>30</v>
      </c>
      <c r="E9" s="4" t="s">
        <v>10</v>
      </c>
      <c r="F9" s="4" t="s">
        <v>31</v>
      </c>
    </row>
    <row r="10" ht="22.5" customHeight="1">
      <c r="A10" s="3" t="s">
        <v>29</v>
      </c>
      <c r="B10" s="4" t="s">
        <v>26</v>
      </c>
      <c r="C10" s="5">
        <v>1.99</v>
      </c>
      <c r="D10" s="6" t="s">
        <v>32</v>
      </c>
      <c r="E10" s="4" t="s">
        <v>10</v>
      </c>
      <c r="F10" s="4" t="s">
        <v>33</v>
      </c>
    </row>
    <row r="11" ht="22.5" customHeight="1">
      <c r="A11" s="3" t="s">
        <v>34</v>
      </c>
      <c r="B11" s="4" t="s">
        <v>16</v>
      </c>
      <c r="C11" s="5">
        <v>8.53</v>
      </c>
      <c r="D11" s="6" t="s">
        <v>35</v>
      </c>
      <c r="E11" s="4" t="s">
        <v>10</v>
      </c>
      <c r="F11" s="4" t="s">
        <v>36</v>
      </c>
    </row>
  </sheetData>
  <mergeCells count="1">
    <mergeCell ref="C1:F1"/>
  </mergeCells>
  <dataValidations>
    <dataValidation type="custom" allowBlank="1" showDropDown="1" sqref="C3:C11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4.25"/>
    <col customWidth="1" min="4" max="4" width="23.25"/>
    <col customWidth="1" min="5" max="5" width="37.63"/>
  </cols>
  <sheetData>
    <row r="1">
      <c r="C1" s="1" t="s">
        <v>37</v>
      </c>
    </row>
    <row r="2" ht="22.5" customHeight="1">
      <c r="A2" s="2" t="s">
        <v>1</v>
      </c>
      <c r="B2" s="2" t="s">
        <v>4</v>
      </c>
      <c r="C2" s="2" t="s">
        <v>38</v>
      </c>
      <c r="D2" s="2" t="s">
        <v>39</v>
      </c>
      <c r="E2" s="2" t="s">
        <v>40</v>
      </c>
    </row>
    <row r="3" ht="22.5" customHeight="1">
      <c r="A3" s="3" t="s">
        <v>41</v>
      </c>
      <c r="B3" s="6" t="s">
        <v>42</v>
      </c>
      <c r="C3" s="4">
        <v>6.0</v>
      </c>
      <c r="D3" s="4">
        <v>0.2</v>
      </c>
      <c r="E3" s="3" t="s">
        <v>43</v>
      </c>
    </row>
    <row r="4" ht="22.5" customHeight="1">
      <c r="A4" s="3" t="s">
        <v>15</v>
      </c>
      <c r="B4" s="6" t="s">
        <v>44</v>
      </c>
      <c r="C4" s="4">
        <v>8.0</v>
      </c>
      <c r="D4" s="4">
        <v>1.0</v>
      </c>
      <c r="E4" s="3" t="s">
        <v>45</v>
      </c>
    </row>
    <row r="5" ht="22.5" customHeight="1">
      <c r="A5" s="3" t="s">
        <v>19</v>
      </c>
      <c r="B5" s="6" t="s">
        <v>46</v>
      </c>
      <c r="C5" s="4">
        <v>7.0</v>
      </c>
      <c r="D5" s="4">
        <v>0.0</v>
      </c>
      <c r="E5" s="3" t="s">
        <v>47</v>
      </c>
    </row>
    <row r="6" ht="22.5" customHeight="1">
      <c r="A6" s="3" t="s">
        <v>29</v>
      </c>
      <c r="B6" s="6" t="s">
        <v>48</v>
      </c>
      <c r="C6" s="4">
        <v>7.0</v>
      </c>
      <c r="D6" s="4">
        <v>0.0</v>
      </c>
      <c r="E6" s="3" t="s">
        <v>49</v>
      </c>
    </row>
    <row r="7" ht="22.5" customHeight="1">
      <c r="A7" s="3" t="s">
        <v>34</v>
      </c>
      <c r="B7" s="6" t="s">
        <v>50</v>
      </c>
      <c r="C7" s="4">
        <v>7.0</v>
      </c>
      <c r="D7" s="4">
        <v>0.0</v>
      </c>
      <c r="E7" s="3" t="s">
        <v>51</v>
      </c>
    </row>
  </sheetData>
  <mergeCells count="1">
    <mergeCell ref="C1:E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63"/>
    <col customWidth="1" min="3" max="3" width="37.63"/>
    <col customWidth="1" min="4" max="4" width="35.88"/>
  </cols>
  <sheetData>
    <row r="1">
      <c r="C1" s="1" t="s">
        <v>52</v>
      </c>
    </row>
    <row r="2" ht="22.5" customHeight="1">
      <c r="A2" s="2" t="s">
        <v>53</v>
      </c>
      <c r="B2" s="2" t="s">
        <v>54</v>
      </c>
      <c r="C2" s="2" t="s">
        <v>55</v>
      </c>
      <c r="D2" s="2" t="s">
        <v>56</v>
      </c>
    </row>
    <row r="3" ht="22.5" customHeight="1">
      <c r="A3" s="3" t="s">
        <v>57</v>
      </c>
      <c r="B3" s="6" t="s">
        <v>58</v>
      </c>
      <c r="C3" s="4" t="s">
        <v>59</v>
      </c>
      <c r="D3" s="6" t="s">
        <v>60</v>
      </c>
    </row>
    <row r="4" ht="22.5" customHeight="1">
      <c r="A4" s="3" t="s">
        <v>61</v>
      </c>
      <c r="B4" s="6" t="s">
        <v>62</v>
      </c>
      <c r="C4" s="4" t="s">
        <v>63</v>
      </c>
      <c r="D4" s="6" t="s">
        <v>64</v>
      </c>
    </row>
    <row r="5" ht="22.5" customHeight="1">
      <c r="A5" s="3" t="s">
        <v>65</v>
      </c>
      <c r="B5" s="6" t="s">
        <v>66</v>
      </c>
      <c r="C5" s="4" t="s">
        <v>67</v>
      </c>
      <c r="D5" s="6" t="s">
        <v>68</v>
      </c>
    </row>
    <row r="6" ht="22.5" customHeight="1">
      <c r="A6" s="3" t="s">
        <v>69</v>
      </c>
      <c r="B6" s="6" t="s">
        <v>70</v>
      </c>
      <c r="C6" s="4" t="s">
        <v>71</v>
      </c>
      <c r="D6" s="6" t="s">
        <v>72</v>
      </c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3" max="3" width="12.75"/>
    <col customWidth="1" min="4" max="4" width="13.88"/>
    <col customWidth="1" min="5" max="5" width="14.88"/>
    <col customWidth="1" min="6" max="6" width="13.25"/>
    <col customWidth="1" min="7" max="7" width="14.25"/>
  </cols>
  <sheetData>
    <row r="1">
      <c r="C1" s="1" t="s">
        <v>73</v>
      </c>
    </row>
    <row r="2" ht="22.5" customHeight="1">
      <c r="A2" s="2" t="s">
        <v>74</v>
      </c>
      <c r="B2" s="2" t="s">
        <v>75</v>
      </c>
      <c r="C2" s="2" t="s">
        <v>76</v>
      </c>
      <c r="D2" s="2" t="s">
        <v>15</v>
      </c>
      <c r="E2" s="2" t="s">
        <v>77</v>
      </c>
      <c r="F2" s="2" t="s">
        <v>29</v>
      </c>
      <c r="G2" s="2" t="s">
        <v>78</v>
      </c>
    </row>
    <row r="3" ht="22.5" customHeight="1">
      <c r="A3" s="3" t="s">
        <v>79</v>
      </c>
      <c r="B3" s="6" t="s">
        <v>80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</row>
    <row r="4" ht="22.5" customHeight="1">
      <c r="A4" s="3" t="s">
        <v>81</v>
      </c>
      <c r="B4" s="6" t="s">
        <v>82</v>
      </c>
      <c r="C4" s="7">
        <v>0.5</v>
      </c>
      <c r="D4" s="7">
        <v>0.5</v>
      </c>
      <c r="E4" s="7">
        <v>0.5</v>
      </c>
      <c r="F4" s="7">
        <v>0.5</v>
      </c>
      <c r="G4" s="7">
        <v>0.3</v>
      </c>
    </row>
    <row r="5" ht="22.5" customHeight="1">
      <c r="A5" s="3" t="s">
        <v>83</v>
      </c>
      <c r="B5" s="6" t="s">
        <v>84</v>
      </c>
      <c r="C5" s="7">
        <v>1.0</v>
      </c>
      <c r="D5" s="7">
        <v>1.0</v>
      </c>
      <c r="E5" s="7">
        <v>1.0</v>
      </c>
      <c r="F5" s="7">
        <v>1.0</v>
      </c>
      <c r="G5" s="7">
        <v>1.0</v>
      </c>
    </row>
    <row r="6" ht="22.5" customHeight="1">
      <c r="A6" s="3" t="s">
        <v>85</v>
      </c>
      <c r="B6" s="6" t="s">
        <v>86</v>
      </c>
      <c r="C6" s="4" t="s">
        <v>87</v>
      </c>
      <c r="D6" s="7">
        <v>0.5</v>
      </c>
      <c r="E6" s="7">
        <v>0.5</v>
      </c>
      <c r="F6" s="7">
        <v>0.5</v>
      </c>
      <c r="G6" s="7">
        <v>0.3</v>
      </c>
    </row>
  </sheetData>
  <dataValidations>
    <dataValidation type="custom" allowBlank="1" showDropDown="1" sqref="D3:G6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